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hnathan.beltran\.gemini\antigravity\playground\final-skylab\cctv-automation-final\"/>
    </mc:Choice>
  </mc:AlternateContent>
  <xr:revisionPtr revIDLastSave="0" documentId="13_ncr:1_{60CB4828-561A-4EA0-8067-2D6F4CA0BC49}" xr6:coauthVersionLast="47" xr6:coauthVersionMax="47" xr10:uidLastSave="{00000000-0000-0000-0000-000000000000}"/>
  <bookViews>
    <workbookView xWindow="-25020" yWindow="315" windowWidth="22440" windowHeight="14445" activeTab="2" xr2:uid="{00000000-000D-0000-FFFF-FFFF00000000}"/>
  </bookViews>
  <sheets>
    <sheet name="Proyecto Actualizacion" sheetId="1" r:id="rId1"/>
    <sheet name="cctv" sheetId="2" r:id="rId2"/>
    <sheet name="Alarmas OSZFORD" sheetId="3" r:id="rId3"/>
    <sheet name="Vehiculos" sheetId="4" r:id="rId4"/>
    <sheet name="Catalogos" sheetId="5" r:id="rId5"/>
    <sheet name="Ubicaciones" sheetId="6" r:id="rId6"/>
    <sheet name="Dispositivos" sheetId="7" r:id="rId7"/>
    <sheet name="DSS_Dispositivos" sheetId="8" r:id="rId8"/>
    <sheet name="Alarmas" sheetId="9" r:id="rId9"/>
    <sheet name="Vehiculos_MVR" sheetId="10" r:id="rId10"/>
    <sheet name="Proyecto_Estructurado" sheetId="11" r:id="rId11"/>
    <sheet name="Calidad_Datos" sheetId="12" r:id="rId12"/>
    <sheet name="00_Resume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4" i="2" l="1"/>
  <c r="S3" i="2" s="1"/>
  <c r="L123" i="2"/>
  <c r="R3" i="2" s="1"/>
  <c r="R46" i="2"/>
  <c r="Q5" i="2"/>
  <c r="T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tc={FDEC246B-18BB-46AE-929E-966A8DF2660B}</author>
    <author>tc={04E453D5-E3F8-4DCA-A1AF-4C5CBD8AFF9C}</author>
    <author>tc={97DBDFBD-D912-4489-AB07-85AB1C74E451}</author>
    <author>tc={5E4C55AF-F39D-47FB-A294-AA4594BE0A4E}</author>
    <author>tc={B9B3291A-508D-4297-B539-C09A647D54B1}</author>
    <author>tc={595B6062-D7AB-476D-8337-AC00BB8AD14C}</author>
    <author>tc={7F348075-5AB6-421E-89DE-3C5AB197D2C9}</author>
    <author>tc={3B62336A-263D-4BB4-A514-FD1BFD6558C0}</author>
    <author>tc={EE1A7334-EA05-4E35-9128-69CB2772E078}</author>
    <author>tc={3A24360C-DB2D-4CAF-B25F-55C99BC0CDEB}</author>
    <author>tc={83A1A6A5-12CA-4170-830A-0DCC3743E7AA}</author>
    <author>tc={77E876C5-5B17-46CB-ADB4-26935E438405}</author>
    <author>tc={8FDA1A0E-A01C-4E2E-A90B-1621A89C972E}</author>
    <author>tc={1E2BF0D5-3424-42F8-9DD1-2CCB6A1F3C65}</author>
    <author>tc={F408BB7F-D8A0-4677-B837-63EF7BE05293}</author>
    <author>tc={231DCF84-8481-4D33-A817-1A58CD1394E3}</author>
    <author>tc={A56338A6-D059-4985-A78E-FA6CDEA9E5A8}</author>
    <author>tc={8A264A1D-8BEB-419B-A1CE-E0EBFE873C1E}</author>
    <author>tc={E2A3FB98-3946-44EC-A47A-32F223422924}</author>
    <author>tc={DCCDAF73-943F-4F35-B277-6C3578C82F54}</author>
    <author>tc={7984C904-BC48-4966-AD43-D39F1F59CA41}</author>
    <author>tc={89F02A67-2D4A-44A5-9DAC-E865FF5BCE7C}</author>
    <author>tc={960BEE91-1E84-4B06-81D6-3A15290DC610}</author>
    <author>tc={B36B0D66-A116-4936-A54E-F29C1193679D}</author>
    <author>tc={5580D3AD-AF41-42D0-AFC5-25377B36D095}</author>
    <author>tc={517D4138-D9A4-470B-9999-2EA2E04F11B3}</author>
    <author>tc={F442DD85-ADBC-442A-8683-C20486CA9B89}</author>
    <author>tc={760C5696-0965-4546-993C-4CC8F70FD95E}</author>
    <author>tc={47F6A378-EF54-45C6-A399-6EDACAB72F47}</author>
    <author>tc={9B139033-F3F6-49A7-8D31-5F8326A31140}</author>
    <author>tc={C686A18B-3E15-400B-8A6C-E147D218230D}</author>
    <author>tc={F628022A-8384-49F6-AD65-B42713F0260D}</author>
    <author>tc={F741F470-3E67-4133-B119-0575ADBB34B5}</author>
    <author>tc={93A7F511-C378-4502-B0E8-ADEDC989BEF0}</author>
    <author>tc={7C72A915-77BD-43EA-B48F-4BDCBEB1C542}</author>
    <author>tc={E49C69CB-9F5D-4A58-B50D-6065DA1AA7B0}</author>
    <author>tc={510918D6-51C5-43FA-BC34-022A6325C8A2}</author>
    <author>tc={6C7B6C1F-3965-4142-BF16-D475693ED5A9}</author>
    <author>tc={8E3820DE-ABCE-4FE3-95A1-C1DB0B92DB7A}</author>
    <author>tc={C4FC9099-1268-4570-906C-44FF417FE06F}</author>
    <author>tc={C892BD64-99B7-4815-A225-0580046B4928}</author>
    <author>tc={A839703F-D33C-4271-827A-DB08ADB0910C}</author>
    <author>tc={0A46F162-2667-4495-B0AB-7FE5B2F9B545}</author>
    <author>tc={9719EFF6-4708-4AB2-BA67-D8267B66E5E5}</author>
    <author>tc={CBA1DD29-825C-4396-AE0D-4D4207A903FE}</author>
    <author>tc={3AA265A2-38DC-4728-86E4-64B27C8CFD63}</author>
    <author>tc={C5C2D776-0C9A-48EA-A7D5-DF4DE72249A3}</author>
    <author>tc={212C2C0A-FE35-4B46-B942-39723C080E81}</author>
    <author>tc={4B5F5FFE-372D-42CA-A6DF-9E9C3C232AE2}</author>
    <author>tc={69DDC1A4-B779-4662-A096-A3A2EEAD50CA}</author>
    <author>tc={484480BB-6180-424F-8C5E-A4CA24CE56ED}</author>
    <author>tc={0A4C8231-CED0-40E9-B3D4-FF85FC32D676}</author>
    <author>tc={2E6AF32D-AF79-4E21-9B2A-A040D988594E}</author>
    <author>tc={A4728F5F-03EE-42D4-B49A-1F18AB8C6E78}</author>
    <author>tc={9573AEF6-040F-49CE-A088-EF91ACBADE43}</author>
    <author>tc={FBEBBF1F-BDA9-4858-9662-E9119C4F2FE0}</author>
    <author>tc={9BAA599A-9750-4707-BC57-81AAC128B47B}</author>
    <author>tc={204B8276-5DA1-4B3F-9466-4B0B72A9EF60}</author>
    <author>tc={14B77673-0E9A-481C-B34A-98FD5E99B784}</author>
    <author>tc={BE19E7EB-F6AA-43F3-9CE6-C5D7CBD05D07}</author>
    <author>tc={5A41B4F3-EDE6-4D25-AFE0-EE1C4C43FE11}</author>
    <author>tc={31BB96DE-E4C0-43E6-AD09-613BEAD2885B}</author>
  </authors>
  <commentList>
    <comment ref="D4" authorId="0" shapeId="0" xr:uid="{00000000-0006-0000-0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4" authorId="1" shapeId="0" xr:uid="{00000000-0006-0000-00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C5" authorId="2" shapeId="0" xr:uid="{00000000-0006-0000-00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instalaron los equipos retirados del punto Mercedes I</t>
      </text>
    </comment>
    <comment ref="D5" authorId="3" shapeId="0" xr:uid="{00000000-0006-0000-00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5" authorId="4" shapeId="0" xr:uid="{00000000-0006-0000-00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C6" authorId="5" shapeId="0" xr:uid="{00000000-0006-0000-00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instaló con los equipos desmontados del punto Droguería Prado</t>
      </text>
    </comment>
    <comment ref="D6" authorId="6" shapeId="0" xr:uid="{00000000-0006-0000-00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6" authorId="7" shapeId="0" xr:uid="{00000000-0006-0000-00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B7" authorId="8" shapeId="0" xr:uid="{00000000-0006-0000-00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realizó instalación de CCTV con IA</t>
      </text>
    </comment>
    <comment ref="D7" authorId="9" shapeId="0" xr:uid="{00000000-0006-0000-0000-00000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7" authorId="10" shapeId="0" xr:uid="{00000000-0006-0000-00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8" authorId="11" shapeId="0" xr:uid="{00000000-0006-0000-0000-00000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8" authorId="12" shapeId="0" xr:uid="{00000000-0006-0000-0000-00000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9" authorId="13" shapeId="0" xr:uid="{00000000-0006-0000-0000-00000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9" authorId="14" shapeId="0" xr:uid="{00000000-0006-0000-0000-00000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0" authorId="15" shapeId="0" xr:uid="{00000000-0006-0000-0000-00001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0" authorId="16" shapeId="0" xr:uid="{00000000-0006-0000-0000-00001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11" authorId="17" shapeId="0" xr:uid="{00000000-0006-0000-0000-00001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4 Cam 2441 EP SMD, UPS, REGULADOR Y RACK</t>
      </text>
    </comment>
    <comment ref="G11" authorId="18" shapeId="0" xr:uid="{00000000-0006-0000-0000-00001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12" authorId="19" shapeId="0" xr:uid="{00000000-0006-0000-0000-00001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2" authorId="20" shapeId="0" xr:uid="{00000000-0006-0000-0000-00001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13" authorId="21" shapeId="0" xr:uid="{00000000-0006-0000-0000-00001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3" authorId="22" shapeId="0" xr:uid="{00000000-0006-0000-0000-00001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4" authorId="23" shapeId="0" xr:uid="{00000000-0006-0000-0000-00001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4" authorId="24" shapeId="0" xr:uid="{00000000-0006-0000-0000-00001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5" authorId="25" shapeId="0" xr:uid="{00000000-0006-0000-0000-00001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15" authorId="26" shapeId="0" xr:uid="{00000000-0006-0000-0000-00001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6" authorId="27" shapeId="0" xr:uid="{00000000-0006-0000-0000-00001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16" authorId="28" shapeId="0" xr:uid="{00000000-0006-0000-0000-00001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7" authorId="29" shapeId="0" xr:uid="{00000000-0006-0000-0000-00001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7" authorId="30" shapeId="0" xr:uid="{00000000-0006-0000-0000-00001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8" authorId="31" shapeId="0" xr:uid="{00000000-0006-0000-0000-00002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18" authorId="32" shapeId="0" xr:uid="{00000000-0006-0000-0000-00002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C19" authorId="33" shapeId="0" xr:uid="{00000000-0006-0000-0000-00002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instalaron los equipos desmontados del punto 19 con 37</t>
      </text>
    </comment>
    <comment ref="D19" authorId="34" shapeId="0" xr:uid="{00000000-0006-0000-0000-00002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20" authorId="35" shapeId="0" xr:uid="{00000000-0006-0000-0000-00002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20" authorId="36" shapeId="0" xr:uid="{00000000-0006-0000-0000-00002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22" authorId="37" shapeId="0" xr:uid="{00000000-0006-0000-0000-00002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22" authorId="38" shapeId="0" xr:uid="{00000000-0006-0000-0000-00002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24" authorId="39" shapeId="0" xr:uid="{00000000-0006-0000-0000-00002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4 Cam 2441 EP</t>
      </text>
    </comment>
    <comment ref="G24" authorId="40" shapeId="0" xr:uid="{00000000-0006-0000-0000-00002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26" authorId="41" shapeId="0" xr:uid="{00000000-0006-0000-0000-00002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8 Cam 2441 EP</t>
      </text>
    </comment>
    <comment ref="G26" authorId="42" shapeId="0" xr:uid="{00000000-0006-0000-0000-00002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27" authorId="43" shapeId="0" xr:uid="{00000000-0006-0000-0000-00002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27" authorId="44" shapeId="0" xr:uid="{00000000-0006-0000-0000-00002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29" authorId="45" shapeId="0" xr:uid="{00000000-0006-0000-0000-00002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</t>
      </text>
    </comment>
    <comment ref="G29" authorId="46" shapeId="0" xr:uid="{00000000-0006-0000-0000-00002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G30" authorId="47" shapeId="0" xr:uid="{00000000-0006-0000-0000-00003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31" authorId="48" shapeId="0" xr:uid="{00000000-0006-0000-0000-00003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8 Cam 2441 EP</t>
      </text>
    </comment>
    <comment ref="D32" authorId="49" shapeId="0" xr:uid="{00000000-0006-0000-0000-00003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2 Cam 2441 EP SMD, UPS, REGULADOR</t>
      </text>
    </comment>
    <comment ref="G32" authorId="50" shapeId="0" xr:uid="{00000000-0006-0000-0000-00003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33" authorId="51" shapeId="0" xr:uid="{00000000-0006-0000-0000-00003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34" authorId="52" shapeId="0" xr:uid="{00000000-0006-0000-0000-00003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35" authorId="53" shapeId="0" xr:uid="{00000000-0006-0000-0000-00003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10 Cam 2441 EP</t>
      </text>
    </comment>
    <comment ref="D36" authorId="54" shapeId="0" xr:uid="{00000000-0006-0000-0000-00003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37" authorId="55" shapeId="0" xr:uid="{00000000-0006-0000-0000-00003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38" authorId="56" shapeId="0" xr:uid="{00000000-0006-0000-0000-00003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39" authorId="57" shapeId="0" xr:uid="{00000000-0006-0000-0000-00003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41" authorId="58" shapeId="0" xr:uid="{00000000-0006-0000-0000-00003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IA, UPS y Rack</t>
      </text>
    </comment>
    <comment ref="D42" authorId="59" shapeId="0" xr:uid="{00000000-0006-0000-0000-00003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43" authorId="60" shapeId="0" xr:uid="{00000000-0006-0000-0000-00003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</t>
      </text>
    </comment>
    <comment ref="D44" authorId="61" shapeId="0" xr:uid="{00000000-0006-0000-0000-00003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</commentList>
</comments>
</file>

<file path=xl/sharedStrings.xml><?xml version="1.0" encoding="utf-8"?>
<sst xmlns="http://schemas.openxmlformats.org/spreadsheetml/2006/main" count="8032" uniqueCount="2020">
  <si>
    <t>Puntos alto valor CCTV IA (SportBook)</t>
  </si>
  <si>
    <t>Punto Para Traslado de Equipos</t>
  </si>
  <si>
    <t>INVERSION</t>
  </si>
  <si>
    <t>Puntos alto valor CCTV IA</t>
  </si>
  <si>
    <t>PUNTOS</t>
  </si>
  <si>
    <t>PUNTOS Y OFICINAS SISTEMA CCTV</t>
  </si>
  <si>
    <t>PALMIRA</t>
  </si>
  <si>
    <t>La Cigarra</t>
  </si>
  <si>
    <t>Berlin - Palmira</t>
  </si>
  <si>
    <t>Sembrador Plaza - Palmira</t>
  </si>
  <si>
    <t>ROZO</t>
  </si>
  <si>
    <t>Parque Prado</t>
  </si>
  <si>
    <t>Caicelandia - Palmira</t>
  </si>
  <si>
    <t>Maranatha - Palmira</t>
  </si>
  <si>
    <t>AMAIME</t>
  </si>
  <si>
    <t>Drogueria Prado II</t>
  </si>
  <si>
    <t>Uribe - Palmira</t>
  </si>
  <si>
    <t>Benedicta I - Palmira</t>
  </si>
  <si>
    <t>FLORIDA</t>
  </si>
  <si>
    <t>19 con 37 II (Instalación nueva)</t>
  </si>
  <si>
    <t>Estonia - Palmira</t>
  </si>
  <si>
    <t>PRADERA</t>
  </si>
  <si>
    <t>Colombia Taxis</t>
  </si>
  <si>
    <t>Zamorano Oficina - Palmira</t>
  </si>
  <si>
    <t>Alameda III - Palmira</t>
  </si>
  <si>
    <t>CANDELARIA</t>
  </si>
  <si>
    <t>Mercedes II</t>
  </si>
  <si>
    <t>Rivera Escobar - Palmira</t>
  </si>
  <si>
    <t>Simon Bolivar - Palmira</t>
  </si>
  <si>
    <t>OCCIDENTE</t>
  </si>
  <si>
    <t>Cementerio</t>
  </si>
  <si>
    <t>Petruc - Palmira</t>
  </si>
  <si>
    <t>Cañaveral CR 32 - Palmira</t>
  </si>
  <si>
    <t>TOTAL</t>
  </si>
  <si>
    <t>La 19 con 35</t>
  </si>
  <si>
    <t>Heladería Sembrador</t>
  </si>
  <si>
    <t>CC Virginia - Palmira</t>
  </si>
  <si>
    <t>La 19 con 33</t>
  </si>
  <si>
    <t>Independencia - Palmira</t>
  </si>
  <si>
    <t>Café Palmira</t>
  </si>
  <si>
    <t>Oasis de la Italia</t>
  </si>
  <si>
    <t>Avenida las victorias - Villa Gorgona</t>
  </si>
  <si>
    <t>Poblado Lourdes - Palmira</t>
  </si>
  <si>
    <t>Guayacanes del ingenio</t>
  </si>
  <si>
    <t>La Colina - Pradera</t>
  </si>
  <si>
    <t>Las Delicias III - Palmira</t>
  </si>
  <si>
    <t>PUNTOS PEQUEÑOS SOLO UNA CAMARA IP</t>
  </si>
  <si>
    <t>Galeria</t>
  </si>
  <si>
    <t>NVR queda para soporte o punto sencillo</t>
  </si>
  <si>
    <t>San Pedro Micelanea - Palmira</t>
  </si>
  <si>
    <t>Americas</t>
  </si>
  <si>
    <t>Villa del rosario - Palmira</t>
  </si>
  <si>
    <t>Empresarios</t>
  </si>
  <si>
    <t>Prado Iglesia - Palmira</t>
  </si>
  <si>
    <t>Santa Barbara - Palmira</t>
  </si>
  <si>
    <t>PPalmasIII</t>
  </si>
  <si>
    <t>ZamoranoIII</t>
  </si>
  <si>
    <t>Santa Teresita II - Palmira</t>
  </si>
  <si>
    <t>Popular Modelo</t>
  </si>
  <si>
    <t>Expreso Palmira (Bodega)</t>
  </si>
  <si>
    <t>Telecom - Rozo</t>
  </si>
  <si>
    <t>Prado La Rochela (Instalación nueva)</t>
  </si>
  <si>
    <t xml:space="preserve">OLIMPICO 3 </t>
  </si>
  <si>
    <t>Olimpico I - Palmira</t>
  </si>
  <si>
    <t>Belalcazar - Rozo</t>
  </si>
  <si>
    <t>Oficina Rozo</t>
  </si>
  <si>
    <t>Solo se cambia NVR</t>
  </si>
  <si>
    <t>Mercahogar - Amaime</t>
  </si>
  <si>
    <t>Oficina Amaime</t>
  </si>
  <si>
    <t>Se desmonta tecnología obsoleta</t>
  </si>
  <si>
    <t>Acuarios - Florida</t>
  </si>
  <si>
    <t>Amaime 1</t>
  </si>
  <si>
    <t>Calle del Comercio - Amaime</t>
  </si>
  <si>
    <t>La Caleñita - Florida</t>
  </si>
  <si>
    <t>Sistema CCTV SportBooks y Oficinas</t>
  </si>
  <si>
    <t>Instalación CAM IP com Analíticas</t>
  </si>
  <si>
    <t>Oficina Florida</t>
  </si>
  <si>
    <t xml:space="preserve">La victoria </t>
  </si>
  <si>
    <t>Comuneros - Pradera</t>
  </si>
  <si>
    <t>Total Implementación del Proyecto</t>
  </si>
  <si>
    <t>Berlin Puertas del Sol - Pradera</t>
  </si>
  <si>
    <t>Oficina Pradera</t>
  </si>
  <si>
    <t>Parque Pradera (Instalación nueva)</t>
  </si>
  <si>
    <t>Comercio Villa Gorgona</t>
  </si>
  <si>
    <t>Maxitodo</t>
  </si>
  <si>
    <t>La Maria - Pradera</t>
  </si>
  <si>
    <t>Guayabal - Occidente</t>
  </si>
  <si>
    <t>Oficina Candelaria</t>
  </si>
  <si>
    <t>Ciudad Campo</t>
  </si>
  <si>
    <t>Las Brisas - Villagorgona</t>
  </si>
  <si>
    <t>Oficina Villagorgona</t>
  </si>
  <si>
    <t>La Virgen - Villagorgona</t>
  </si>
  <si>
    <t>PUNTO A INSTALAR CON DETECCIÓN DE ROSTROS (COMBO NUEVO)</t>
  </si>
  <si>
    <t>PUNTO A INSTALAR COMBOS NORMAL (COMBO REUTILIZADO)</t>
  </si>
  <si>
    <t>Cabuyal</t>
  </si>
  <si>
    <t>Guardería - Candelaria</t>
  </si>
  <si>
    <t>La 19 con 37 II - Palmira (Instalación nueva con IA)</t>
  </si>
  <si>
    <t>Carmelo</t>
  </si>
  <si>
    <t>San Antonio - Florida</t>
  </si>
  <si>
    <t>Droguería Prado - Palmira (Cambio de Tecnologia)</t>
  </si>
  <si>
    <t>Uribe - Palmira (Instalación con equipos desmontados)</t>
  </si>
  <si>
    <t>Guayacanes del Ingenio - Palmira (Cambio de tecnología)</t>
  </si>
  <si>
    <t>Rivera Escobar - Palmira (Instalación con equipos desmontados)</t>
  </si>
  <si>
    <t>Tienda Nueva (DH-IPC-HDBW5442E-Z3)</t>
  </si>
  <si>
    <t>Ciclomotos - Palmira</t>
  </si>
  <si>
    <t>Oficina Villagorgona (Cambio de Tecnología)</t>
  </si>
  <si>
    <t>La Virgen Villagorgona (Instalación con equipos desmontados)</t>
  </si>
  <si>
    <t>Aeropuerto</t>
  </si>
  <si>
    <t>Tablones I - Occidente</t>
  </si>
  <si>
    <t>Bolo Alaska</t>
  </si>
  <si>
    <t>Crucero guanabanal</t>
  </si>
  <si>
    <t>Callejón Salitre - Occidente</t>
  </si>
  <si>
    <t>19 con 37 I (Punto desmontado)</t>
  </si>
  <si>
    <t>Santa teresita II - Palmira (Instalación con equipos desmontados)</t>
  </si>
  <si>
    <t>Mercedes I - Palmira (Punto desmontado)</t>
  </si>
  <si>
    <t>Caicelandia - Palmira (Instalación con equipos desmontados)</t>
  </si>
  <si>
    <t>Sembrador Plaza - Palmira (Camara con entrada y salida de alarma)</t>
  </si>
  <si>
    <t>La 19 con 35 ( Cambio de tecnología)</t>
  </si>
  <si>
    <t>Independencia - Palmira (Instalación con equipos desmontados)</t>
  </si>
  <si>
    <t>La 19 con 33 (Cambio de Tecnología)</t>
  </si>
  <si>
    <t>Petruc (Instalación con equipos desmontados)</t>
  </si>
  <si>
    <t>Oficina Carmelo (Cambio de Tecnología)</t>
  </si>
  <si>
    <t>Heladería Sembrador ( Instalación con equipos desmontados)</t>
  </si>
  <si>
    <t>Cementerio Palmira (Cambio de Tecnología)</t>
  </si>
  <si>
    <t>La Victoria - Florida (Instalación con equipos desmontados)</t>
  </si>
  <si>
    <t>Americas Palmira (Cambio de Tecnología)</t>
  </si>
  <si>
    <t>Cañaveral Crr 32 (Camara con entrada y salida de alarma)</t>
  </si>
  <si>
    <t>Maxitodo (Cambio de Tecnología)</t>
  </si>
  <si>
    <t>La Maria - Pradera (Instalación con equipos desmontados)</t>
  </si>
  <si>
    <t>Oasis de la Italia (Cambio de Tecnología)</t>
  </si>
  <si>
    <t>Expreso Palmira (Bodega - Instalación con equipos desmontados)</t>
  </si>
  <si>
    <t>CANALES</t>
  </si>
  <si>
    <t>DVR/NVR'S</t>
  </si>
  <si>
    <t>K35/CAM_IP</t>
  </si>
  <si>
    <t>Punto - Oficina</t>
  </si>
  <si>
    <t>HapLite</t>
  </si>
  <si>
    <t>RED DVR / NVR /CAM</t>
  </si>
  <si>
    <t>IP Red Wifi/24-28</t>
  </si>
  <si>
    <t>NAT</t>
  </si>
  <si>
    <t>PUERTO NVR</t>
  </si>
  <si>
    <t>IP real NVR</t>
  </si>
  <si>
    <t>N. Camaras</t>
  </si>
  <si>
    <t>Actualizado</t>
  </si>
  <si>
    <t>Palmira</t>
  </si>
  <si>
    <t>ETHER 1</t>
  </si>
  <si>
    <t>ETHER 4</t>
  </si>
  <si>
    <t>versión</t>
  </si>
  <si>
    <t>Alarma</t>
  </si>
  <si>
    <t>Dude</t>
  </si>
  <si>
    <t>Detección</t>
  </si>
  <si>
    <t>CAJAS - PUNTO DE VENTA - ok horario</t>
  </si>
  <si>
    <t>10.220.1.80</t>
  </si>
  <si>
    <t>5.001.0000000.2.R 31-03-2026</t>
  </si>
  <si>
    <t>SMD</t>
  </si>
  <si>
    <t>EDIFICIO PRINCIPAL (Paradox)</t>
  </si>
  <si>
    <t>10.220.1.56</t>
  </si>
  <si>
    <t>4.002.0000000.8.R 30-10-2024</t>
  </si>
  <si>
    <t>OSZFORD</t>
  </si>
  <si>
    <t>PARQUEADERO - CUARTO ELECTRICO</t>
  </si>
  <si>
    <t>10.220.99</t>
  </si>
  <si>
    <t>5.001.0000000.2.R 2026-03-31</t>
  </si>
  <si>
    <t>CONTEO PRINCIPAL</t>
  </si>
  <si>
    <t>10.220.1.81</t>
  </si>
  <si>
    <t>4.001.0000005.4.R 08-08-2024</t>
  </si>
  <si>
    <t>Punto Parqueadero Ganador (Alarma Dahua)</t>
  </si>
  <si>
    <t>192.168.36.16</t>
  </si>
  <si>
    <t>10.220.8.0</t>
  </si>
  <si>
    <t>10.20.20.0</t>
  </si>
  <si>
    <t>OK</t>
  </si>
  <si>
    <t>10.220.8.2/27</t>
  </si>
  <si>
    <t>Alarma oszford</t>
  </si>
  <si>
    <t>ok</t>
  </si>
  <si>
    <t>HapLite Cigarra</t>
  </si>
  <si>
    <t>192.168.36.9/25</t>
  </si>
  <si>
    <t>20.1/27</t>
  </si>
  <si>
    <t>10.220.20.0</t>
  </si>
  <si>
    <t>10.20.33.0</t>
  </si>
  <si>
    <t>10.220.20.2/27</t>
  </si>
  <si>
    <t>5.001.0000000.2.R 05/06/2026</t>
  </si>
  <si>
    <t>ParqueBolivarParqueadero (Alarma Dahua)</t>
  </si>
  <si>
    <t>192.168.36.36</t>
  </si>
  <si>
    <t>10.220.19.3/27</t>
  </si>
  <si>
    <t>4.003.0000000.1.R 15-05-2024</t>
  </si>
  <si>
    <t>SMD OSZFORD</t>
  </si>
  <si>
    <t>RED 44</t>
  </si>
  <si>
    <t>ParqueBolivarCajas</t>
  </si>
  <si>
    <t>19.1/27</t>
  </si>
  <si>
    <t>10.220.19.0</t>
  </si>
  <si>
    <t>10.20.32.0</t>
  </si>
  <si>
    <t>10.220.19.2/27</t>
  </si>
  <si>
    <t>4.001.0000003.2 29-09-2020</t>
  </si>
  <si>
    <t>ParquePrado (Paradox)</t>
  </si>
  <si>
    <t>192.168.44.230</t>
  </si>
  <si>
    <t>55.1/27</t>
  </si>
  <si>
    <t>10.220.55.0</t>
  </si>
  <si>
    <t>10.20.46.0</t>
  </si>
  <si>
    <t>10.220.55.2/27</t>
  </si>
  <si>
    <t>Licores I</t>
  </si>
  <si>
    <t>192.168.44.45</t>
  </si>
  <si>
    <t>48.1/27</t>
  </si>
  <si>
    <t>10.220.48.0</t>
  </si>
  <si>
    <t>10.20.30,0</t>
  </si>
  <si>
    <t>10.220.48.2/27</t>
  </si>
  <si>
    <t>V4.001.0000005.2.R</t>
  </si>
  <si>
    <t>INDEPENDECIA</t>
  </si>
  <si>
    <t>192.168.44.218</t>
  </si>
  <si>
    <t>65.0/27</t>
  </si>
  <si>
    <t>10.220.65.0</t>
  </si>
  <si>
    <t>N/A</t>
  </si>
  <si>
    <t>10.220.65.2/27</t>
  </si>
  <si>
    <t>V4.002.0000000.5.R</t>
  </si>
  <si>
    <t>Tienda Costa Rica (Evento botón de pánico)</t>
  </si>
  <si>
    <t>192.168.45.235</t>
  </si>
  <si>
    <t>84.1/27</t>
  </si>
  <si>
    <t>10.220.30.0</t>
  </si>
  <si>
    <t>10.220.30.2/27</t>
  </si>
  <si>
    <t>V4.002.0000001.5.R</t>
  </si>
  <si>
    <t>Drogueria Prado II (Evento botón de pánico)</t>
  </si>
  <si>
    <t>192.168.44.188</t>
  </si>
  <si>
    <t>72.1/27</t>
  </si>
  <si>
    <t>10.220.72.0</t>
  </si>
  <si>
    <t>192.168.28.0/29</t>
  </si>
  <si>
    <t>10.220.72.2/27</t>
  </si>
  <si>
    <t>V4.002.0000000.6.R</t>
  </si>
  <si>
    <t>Prado Iglesia</t>
  </si>
  <si>
    <t>192.168.44.41</t>
  </si>
  <si>
    <t>101.1/27</t>
  </si>
  <si>
    <t>10.220.101.0</t>
  </si>
  <si>
    <t>10.220.101.1/27</t>
  </si>
  <si>
    <t>Pir</t>
  </si>
  <si>
    <t>Caja Agraria</t>
  </si>
  <si>
    <t>192.168.45.199</t>
  </si>
  <si>
    <t>17.1/27</t>
  </si>
  <si>
    <t>10.220.17.0</t>
  </si>
  <si>
    <t>10.20.34.0</t>
  </si>
  <si>
    <t>V4.003.0000000.0.R</t>
  </si>
  <si>
    <t>Fray Luis (Evento botón de pánico)</t>
  </si>
  <si>
    <t>192.168.45.222</t>
  </si>
  <si>
    <t>87.1/27</t>
  </si>
  <si>
    <t>10.220.87.0</t>
  </si>
  <si>
    <t>10.220.87.2/27</t>
  </si>
  <si>
    <t>V4.003.0000000.1.R</t>
  </si>
  <si>
    <t>DHI-NVR4208-4KS2/L</t>
  </si>
  <si>
    <t>19 CON 37 II (Evento botón de pánico)</t>
  </si>
  <si>
    <t>192.168.45.45</t>
  </si>
  <si>
    <t>91.1/27</t>
  </si>
  <si>
    <t>10.220.91.0</t>
  </si>
  <si>
    <t>10.220.91.2/27</t>
  </si>
  <si>
    <t>La 19 con 35 - ok horario DHI-NVR5208-EI</t>
  </si>
  <si>
    <t>192.168.45.175</t>
  </si>
  <si>
    <t>29.1/27</t>
  </si>
  <si>
    <t>10.220.29.0</t>
  </si>
  <si>
    <t>10.10.10.1/24</t>
  </si>
  <si>
    <t>10.220.29.2/27</t>
  </si>
  <si>
    <t>Casa la 27</t>
  </si>
  <si>
    <t>192.168.45.225</t>
  </si>
  <si>
    <t>Pikos (IPC-3441E + NVR)</t>
  </si>
  <si>
    <t>192.168.44.227</t>
  </si>
  <si>
    <t>22.1/24</t>
  </si>
  <si>
    <t>10.220.22.0</t>
  </si>
  <si>
    <t>10.20.37.0</t>
  </si>
  <si>
    <t>10.220.22.1/24</t>
  </si>
  <si>
    <t>4.005.0000001.6.R 19-12-2025</t>
  </si>
  <si>
    <t>Sembrador Plaza</t>
  </si>
  <si>
    <t>192.168.44.19</t>
  </si>
  <si>
    <t>NO</t>
  </si>
  <si>
    <t>3.140.0000000.81.R 08-05-2026</t>
  </si>
  <si>
    <t xml:space="preserve">Tienda Uribe </t>
  </si>
  <si>
    <t>192.168.45.181</t>
  </si>
  <si>
    <t>43.1/29</t>
  </si>
  <si>
    <t>10.220.43.1</t>
  </si>
  <si>
    <t>No aplica</t>
  </si>
  <si>
    <t>10.220.43.1/29</t>
  </si>
  <si>
    <t>Colombia cabinas (IPC-K35)</t>
  </si>
  <si>
    <t>192.168.44.181</t>
  </si>
  <si>
    <t>52.1/27</t>
  </si>
  <si>
    <t>10.220.52.0</t>
  </si>
  <si>
    <t>2.400.000000.16.R</t>
  </si>
  <si>
    <t>K35</t>
  </si>
  <si>
    <t xml:space="preserve">AntPpal </t>
  </si>
  <si>
    <t>192.168.44.178</t>
  </si>
  <si>
    <t>26.1/27</t>
  </si>
  <si>
    <t>10.220.26.0</t>
  </si>
  <si>
    <t>10.20.41.0</t>
  </si>
  <si>
    <t>10.220.26.2/27</t>
  </si>
  <si>
    <t>Ok pir</t>
  </si>
  <si>
    <t>V4.001.0000005.4.R</t>
  </si>
  <si>
    <t>DHI-NVR4208-8P-4KS2</t>
  </si>
  <si>
    <t>RED 20</t>
  </si>
  <si>
    <t>CC Llanogrande plaza</t>
  </si>
  <si>
    <t>192.168.20.190</t>
  </si>
  <si>
    <t>9.1/27</t>
  </si>
  <si>
    <t>10.220.9.0</t>
  </si>
  <si>
    <t>10.20.35.0</t>
  </si>
  <si>
    <t>10.220.9.2/27</t>
  </si>
  <si>
    <t>V4.005.0000000.1.R</t>
  </si>
  <si>
    <t>192.168.20.140</t>
  </si>
  <si>
    <t>2.1/27</t>
  </si>
  <si>
    <t>10.220.2.0</t>
  </si>
  <si>
    <t>10.20.45.0</t>
  </si>
  <si>
    <t>10.220.2.2/27</t>
  </si>
  <si>
    <t>CC Carrefour Metro</t>
  </si>
  <si>
    <t>192.168.21.155</t>
  </si>
  <si>
    <t>21.1/27</t>
  </si>
  <si>
    <t>10.220.21.0</t>
  </si>
  <si>
    <t>10.20.36.0</t>
  </si>
  <si>
    <t>10.220.21.2/27</t>
  </si>
  <si>
    <t>4.001.0000005.2.R 06-08-2024</t>
  </si>
  <si>
    <t>4,001,0000005,2,R</t>
  </si>
  <si>
    <t>DHI-NVR2208-8P-4KS2</t>
  </si>
  <si>
    <t>192.168.22.52</t>
  </si>
  <si>
    <t>4.1/27</t>
  </si>
  <si>
    <t>10.220.4.0/27</t>
  </si>
  <si>
    <t>10.20.48.0</t>
  </si>
  <si>
    <t>10.220.4.2/27</t>
  </si>
  <si>
    <t>4,001,0000005,4,R</t>
  </si>
  <si>
    <t>192.168.20.105</t>
  </si>
  <si>
    <t>46.1/27</t>
  </si>
  <si>
    <t>10.220.46.0</t>
  </si>
  <si>
    <t>4,002,0000000,7,R</t>
  </si>
  <si>
    <t>DHI-NVR5864-4KS2</t>
  </si>
  <si>
    <t>192.168.20.56</t>
  </si>
  <si>
    <t>37.1/27</t>
  </si>
  <si>
    <t>10.220.37.0</t>
  </si>
  <si>
    <t>10.20.55.0</t>
  </si>
  <si>
    <t>10.220.37.2/27</t>
  </si>
  <si>
    <t>192.168.20.163</t>
  </si>
  <si>
    <t>38.1/27</t>
  </si>
  <si>
    <t>10.220.38.0</t>
  </si>
  <si>
    <t>10.20.56.0</t>
  </si>
  <si>
    <t>10.220.38.2/27</t>
  </si>
  <si>
    <t>Papayal</t>
  </si>
  <si>
    <t>192.168.20.39</t>
  </si>
  <si>
    <t>42.1/27</t>
  </si>
  <si>
    <t>10.220.42.0</t>
  </si>
  <si>
    <t>10.4.4.0/24</t>
  </si>
  <si>
    <t>Obrero 1</t>
  </si>
  <si>
    <t>192.168.20.150</t>
  </si>
  <si>
    <t>49.1/27</t>
  </si>
  <si>
    <t>10.220.49.0</t>
  </si>
  <si>
    <t>10.220.49.2/27</t>
  </si>
  <si>
    <t>Berlin (Evento botón de pánico)</t>
  </si>
  <si>
    <t>192.168.21.192</t>
  </si>
  <si>
    <t>5.1/27</t>
  </si>
  <si>
    <t>10.220.5.0</t>
  </si>
  <si>
    <t>10.220.5.2/27</t>
  </si>
  <si>
    <t>PIR</t>
  </si>
  <si>
    <t>Oasis de la Italia (Evento botón de pánico)</t>
  </si>
  <si>
    <t>192.168.22.50</t>
  </si>
  <si>
    <t>86.1/27</t>
  </si>
  <si>
    <t>10.220.86.2/27</t>
  </si>
  <si>
    <t>Guayacanes del ingenio (Evento botón de pánico)</t>
  </si>
  <si>
    <t>192.168.20.29</t>
  </si>
  <si>
    <t>85.1/27</t>
  </si>
  <si>
    <t>10.220.85.2/27</t>
  </si>
  <si>
    <t>4,003,0000000,1,R</t>
  </si>
  <si>
    <t>Reservas de la Italia (Evento botón de pánico)</t>
  </si>
  <si>
    <t>192.168.21.41</t>
  </si>
  <si>
    <t>88.1/27</t>
  </si>
  <si>
    <t>10.220.88.0</t>
  </si>
  <si>
    <t>10.220.88.2./27</t>
  </si>
  <si>
    <t>Parque Italia Principal (Paradox)</t>
  </si>
  <si>
    <t>192.168.20.41</t>
  </si>
  <si>
    <t>59.1/27</t>
  </si>
  <si>
    <t>10.220.59.0</t>
  </si>
  <si>
    <t>10.30.80.0/30</t>
  </si>
  <si>
    <t>10.220.59.2/27</t>
  </si>
  <si>
    <t>RIVERA ESCOBAR (Evento botón de pánico)</t>
  </si>
  <si>
    <t>192.168.21.195</t>
  </si>
  <si>
    <t>10.220.63.0</t>
  </si>
  <si>
    <t>10.20.80.0/27</t>
  </si>
  <si>
    <t>10.220.63.2/27</t>
  </si>
  <si>
    <t>4.006.0000000.5.R 09-02-2026</t>
  </si>
  <si>
    <t>PETRU (IPC-K35)</t>
  </si>
  <si>
    <t>192.168.20.203</t>
  </si>
  <si>
    <t>66.1/27</t>
  </si>
  <si>
    <t>10.220.66.0</t>
  </si>
  <si>
    <t>CAICELANDIA 2 (Evento botón de pánico)</t>
  </si>
  <si>
    <t>192.168.21.39</t>
  </si>
  <si>
    <t>10.220.70.0</t>
  </si>
  <si>
    <t>Unicentro</t>
  </si>
  <si>
    <t>192.168.20.125</t>
  </si>
  <si>
    <t>3.1/27</t>
  </si>
  <si>
    <t>10.220.3.0</t>
  </si>
  <si>
    <t>10.20.47.0</t>
  </si>
  <si>
    <t>10.220.3.2/27</t>
  </si>
  <si>
    <t>192.168.21.52</t>
  </si>
  <si>
    <t>27.1/27</t>
  </si>
  <si>
    <t>10.220.27.0</t>
  </si>
  <si>
    <t>10.20.42.0</t>
  </si>
  <si>
    <t>10.220.27.2/27</t>
  </si>
  <si>
    <t>192.168.20.48</t>
  </si>
  <si>
    <t>28.1/27</t>
  </si>
  <si>
    <t>10.220.28.0</t>
  </si>
  <si>
    <t>10.20.43.0</t>
  </si>
  <si>
    <t>10.220.28.2/27</t>
  </si>
  <si>
    <t>Empresarios (Evento botón de pánico)</t>
  </si>
  <si>
    <t>89.1/27</t>
  </si>
  <si>
    <t>10.220.89.0</t>
  </si>
  <si>
    <t>10.220.89.2/27</t>
  </si>
  <si>
    <t>RED 14</t>
  </si>
  <si>
    <t>Mardenla47</t>
  </si>
  <si>
    <t>192.168.14.32</t>
  </si>
  <si>
    <t>34.1/27</t>
  </si>
  <si>
    <t>10.220.34.0</t>
  </si>
  <si>
    <t>10.20.38.0</t>
  </si>
  <si>
    <t>10.220.34.2/27</t>
  </si>
  <si>
    <t>Casa Alameda</t>
  </si>
  <si>
    <t>192.168.14.81</t>
  </si>
  <si>
    <t>32.1/27</t>
  </si>
  <si>
    <t>10.220.32.0</t>
  </si>
  <si>
    <t>10.20.49.0</t>
  </si>
  <si>
    <t>10.220.32.2/27</t>
  </si>
  <si>
    <t>192.168.14.37</t>
  </si>
  <si>
    <t>25.1/27</t>
  </si>
  <si>
    <t>10.220.25.0</t>
  </si>
  <si>
    <t>10.20.40.0</t>
  </si>
  <si>
    <t>10.220.25.2/27</t>
  </si>
  <si>
    <t>La cosecha III (Evento botón de pánico)</t>
  </si>
  <si>
    <t>192.168.15.87</t>
  </si>
  <si>
    <t>10.220.15.0.</t>
  </si>
  <si>
    <t>10.220.15.2/27</t>
  </si>
  <si>
    <t>4.006.0000000.5.R 15-05-2024</t>
  </si>
  <si>
    <t>Alameda V (Evento botón de pánico)</t>
  </si>
  <si>
    <t>192.168.14.15</t>
  </si>
  <si>
    <t>10.220.14.0.</t>
  </si>
  <si>
    <t>10.220.14.2/27</t>
  </si>
  <si>
    <t>SMD actualizada</t>
  </si>
  <si>
    <t>2.800.0000000.9.R, Build Date: 2019-11-15</t>
  </si>
  <si>
    <t>Zamorano II Oficina</t>
  </si>
  <si>
    <t>192.168.14.87</t>
  </si>
  <si>
    <t>45.1./28</t>
  </si>
  <si>
    <t>10.220.45.0</t>
  </si>
  <si>
    <t>10.20.52.0</t>
  </si>
  <si>
    <t>10.220.45.2/24</t>
  </si>
  <si>
    <t>192.168.14.84</t>
  </si>
  <si>
    <t>23.1/27</t>
  </si>
  <si>
    <t>10.220.23.0</t>
  </si>
  <si>
    <t>10.220.23.2/27</t>
  </si>
  <si>
    <t>Santa Teresita II</t>
  </si>
  <si>
    <t>192.168.15.37</t>
  </si>
  <si>
    <t>44.1/28</t>
  </si>
  <si>
    <t>10.220.44.0</t>
  </si>
  <si>
    <t>10.220.44.2/27</t>
  </si>
  <si>
    <t>Ignacio Torres (IPC-3441E)</t>
  </si>
  <si>
    <t>192.168.14.73</t>
  </si>
  <si>
    <t>10.220.18.0</t>
  </si>
  <si>
    <t>3.140.0000000.39.R 2025-07-18</t>
  </si>
  <si>
    <t>RED 34</t>
  </si>
  <si>
    <t>LaBuitrera</t>
  </si>
  <si>
    <t>192.168.34.190</t>
  </si>
  <si>
    <t>36.1/27</t>
  </si>
  <si>
    <t>10.220.36.0</t>
  </si>
  <si>
    <t>10.20.54.0</t>
  </si>
  <si>
    <t>10.220.36.2/27</t>
  </si>
  <si>
    <t>4.001.0000005.4.R</t>
  </si>
  <si>
    <t>Maricano</t>
  </si>
  <si>
    <t>192.168.34.24</t>
  </si>
  <si>
    <t>24.1/27</t>
  </si>
  <si>
    <t>10.220.24.0</t>
  </si>
  <si>
    <t>10.20.39.0</t>
  </si>
  <si>
    <t>10.220.24.2/27</t>
  </si>
  <si>
    <t>192.168.34.50</t>
  </si>
  <si>
    <t>39.1/27</t>
  </si>
  <si>
    <t>10.220.39.0</t>
  </si>
  <si>
    <t>10.220.39.2/27</t>
  </si>
  <si>
    <t>MUNICIPAL 1 (IPC-K35)</t>
  </si>
  <si>
    <t>192.168.34.86</t>
  </si>
  <si>
    <t>10.220.68.0</t>
  </si>
  <si>
    <t>Marden del Bosque</t>
  </si>
  <si>
    <t>192.168.34.147</t>
  </si>
  <si>
    <t>81.1/27</t>
  </si>
  <si>
    <t>10.220.81.0</t>
  </si>
  <si>
    <t>10.220.81.2/27</t>
  </si>
  <si>
    <t>VERSALLES 1 (IPC-K35)</t>
  </si>
  <si>
    <t>192.168.20.160</t>
  </si>
  <si>
    <t>10.220.61.0</t>
  </si>
  <si>
    <t>VPN</t>
  </si>
  <si>
    <t>10.100.1.42</t>
  </si>
  <si>
    <t>10.220.42.0.</t>
  </si>
  <si>
    <t>10.220.42.2/27</t>
  </si>
  <si>
    <t>4,005,0000000,1,R</t>
  </si>
  <si>
    <t>HELADERÁ SEMBRADOR</t>
  </si>
  <si>
    <t>10.100.1.14</t>
  </si>
  <si>
    <t>10.220.51.0</t>
  </si>
  <si>
    <t>10.220.51.2/27</t>
  </si>
  <si>
    <t>RED18</t>
  </si>
  <si>
    <t>Rozo</t>
  </si>
  <si>
    <t>192.168.18.50</t>
  </si>
  <si>
    <t>10.220.4.0</t>
  </si>
  <si>
    <t>10.20.1.0</t>
  </si>
  <si>
    <t>4.001.0000005.1</t>
  </si>
  <si>
    <t>Antigua Ppal Rozo - ok horario</t>
  </si>
  <si>
    <t>192.168.18.11</t>
  </si>
  <si>
    <t>90.1/27</t>
  </si>
  <si>
    <t>10.220.90.0</t>
  </si>
  <si>
    <t>10.20.2.0</t>
  </si>
  <si>
    <t>10.220.90.2/27</t>
  </si>
  <si>
    <t>Amaime</t>
  </si>
  <si>
    <t>RED 12</t>
  </si>
  <si>
    <t>192.168.12.15</t>
  </si>
  <si>
    <t>10.20.3.0</t>
  </si>
  <si>
    <t>3.210.0001.4</t>
  </si>
  <si>
    <t>Amaime1 - ok horario</t>
  </si>
  <si>
    <t>192.168.12.58</t>
  </si>
  <si>
    <t>10.220.76.0</t>
  </si>
  <si>
    <t>Calle Comercio(K35)</t>
  </si>
  <si>
    <t>192.168.12.81</t>
  </si>
  <si>
    <t>10.220.85.0</t>
  </si>
  <si>
    <t>Los Parrales CAM IP</t>
  </si>
  <si>
    <t>192.168.12.48</t>
  </si>
  <si>
    <t>V2.840.0000000.17.R</t>
  </si>
  <si>
    <t>Tienda Joel</t>
  </si>
  <si>
    <t>192.168.12.83</t>
  </si>
  <si>
    <t>10.220.86.0</t>
  </si>
  <si>
    <t>Florida</t>
  </si>
  <si>
    <t>RED 32</t>
  </si>
  <si>
    <t>CPU BetPlay Oficina Florida</t>
  </si>
  <si>
    <t>192.168.32.19</t>
  </si>
  <si>
    <t>10.220.6.0</t>
  </si>
  <si>
    <t>10.20.4.0</t>
  </si>
  <si>
    <t>4.000.0000000.1</t>
  </si>
  <si>
    <t>EsmeraldaFlorida</t>
  </si>
  <si>
    <t>192.168.32.36</t>
  </si>
  <si>
    <t>10.220.16.0</t>
  </si>
  <si>
    <t>10.20.5.0</t>
  </si>
  <si>
    <t>Libardo DVR</t>
  </si>
  <si>
    <t>192.168.32.136</t>
  </si>
  <si>
    <t>10.220.31.0</t>
  </si>
  <si>
    <t>3.21.0001.4</t>
  </si>
  <si>
    <t>La Octava</t>
  </si>
  <si>
    <t>192.168.32.177</t>
  </si>
  <si>
    <t>10.220.50.0</t>
  </si>
  <si>
    <t>Antigua Ppal Florida</t>
  </si>
  <si>
    <t>192.168.32.62</t>
  </si>
  <si>
    <t>10.220.77.1/27</t>
  </si>
  <si>
    <t>10.220.77.0</t>
  </si>
  <si>
    <t>10.220.77.2</t>
  </si>
  <si>
    <t xml:space="preserve">La novena </t>
  </si>
  <si>
    <t>192.168.32.106</t>
  </si>
  <si>
    <t>10.220.57.1/27</t>
  </si>
  <si>
    <t>10.220.57.0</t>
  </si>
  <si>
    <t>10.220.57.2/27</t>
  </si>
  <si>
    <t>Las Americas CAM IP</t>
  </si>
  <si>
    <t>192.168.32.182</t>
  </si>
  <si>
    <t>2.840.0000000.17.R</t>
  </si>
  <si>
    <t>Pradera</t>
  </si>
  <si>
    <t>RED 24</t>
  </si>
  <si>
    <t>Oficina Pradera DVR + NVR</t>
  </si>
  <si>
    <t>192.168.24.200</t>
  </si>
  <si>
    <t>10.20.21.0</t>
  </si>
  <si>
    <t>4.000.0000002.11</t>
  </si>
  <si>
    <t>Panchinita</t>
  </si>
  <si>
    <t>192.168.24.201</t>
  </si>
  <si>
    <t>35.1/27</t>
  </si>
  <si>
    <t>10.220.35.0</t>
  </si>
  <si>
    <t>10.20.22.0</t>
  </si>
  <si>
    <t>10.220.35.2/27</t>
  </si>
  <si>
    <t>Parque Pradera</t>
  </si>
  <si>
    <t>192.168.24.202</t>
  </si>
  <si>
    <t>10.1/27</t>
  </si>
  <si>
    <t>10.220.10.0</t>
  </si>
  <si>
    <t>10.20.23.0</t>
  </si>
  <si>
    <t>10.220.10.2/27</t>
  </si>
  <si>
    <t>La colina</t>
  </si>
  <si>
    <t>192.168.24.96</t>
  </si>
  <si>
    <t>100.1/27</t>
  </si>
  <si>
    <t>10.220.100.0</t>
  </si>
  <si>
    <t>10.220.100.2/27</t>
  </si>
  <si>
    <t>Bodega Pradera</t>
  </si>
  <si>
    <t>192.168.24.203</t>
  </si>
  <si>
    <t>10.220.11.0</t>
  </si>
  <si>
    <t>10.20.24.0</t>
  </si>
  <si>
    <t>Bingo la Sexta</t>
  </si>
  <si>
    <t>192.168.24.88</t>
  </si>
  <si>
    <t>192.168.24.204</t>
  </si>
  <si>
    <t>10.220.53.0</t>
  </si>
  <si>
    <t>Manhantan</t>
  </si>
  <si>
    <t>192.168.24.76</t>
  </si>
  <si>
    <t>10.220.54.0</t>
  </si>
  <si>
    <t>RED26</t>
  </si>
  <si>
    <t>Candelaria</t>
  </si>
  <si>
    <t>192.168.28.17</t>
  </si>
  <si>
    <t>10.220.13.0</t>
  </si>
  <si>
    <t>10.20.26.0</t>
  </si>
  <si>
    <t>Galeria Cande</t>
  </si>
  <si>
    <t>192.168.27.52</t>
  </si>
  <si>
    <t>14.1/27</t>
  </si>
  <si>
    <t>10.220.14.0</t>
  </si>
  <si>
    <t>10.20.27.0</t>
  </si>
  <si>
    <t>Registraduria</t>
  </si>
  <si>
    <t>192.168.26.52</t>
  </si>
  <si>
    <t>10.220.15.0</t>
  </si>
  <si>
    <t>10.20.28.0</t>
  </si>
  <si>
    <t>RED 42</t>
  </si>
  <si>
    <t>Juanchito CR torre la Pereira (Alarma Dahua)</t>
  </si>
  <si>
    <t>192.168.42.50</t>
  </si>
  <si>
    <t>33.1/27</t>
  </si>
  <si>
    <t>10.220.33.0</t>
  </si>
  <si>
    <t>10.20.53.0</t>
  </si>
  <si>
    <t>10.220.33.2/27</t>
  </si>
  <si>
    <t>192.168.42.22</t>
  </si>
  <si>
    <t>78.1/27</t>
  </si>
  <si>
    <t>10.220.78.0</t>
  </si>
  <si>
    <t>10.220.78.1/27</t>
  </si>
  <si>
    <t>RED 40</t>
  </si>
  <si>
    <t>Villagorgona 20 de Julio</t>
  </si>
  <si>
    <t>192.168.40.30</t>
  </si>
  <si>
    <t>10.220.7.0</t>
  </si>
  <si>
    <t>10.20.29.0</t>
  </si>
  <si>
    <t>192.168.40.201</t>
  </si>
  <si>
    <t>6.1/29</t>
  </si>
  <si>
    <t>10.20.30.0</t>
  </si>
  <si>
    <t>10.220.6.2/29</t>
  </si>
  <si>
    <t>Fanny Romero - Ppal poblado</t>
  </si>
  <si>
    <t>192.168.40.124</t>
  </si>
  <si>
    <t>80.1/27</t>
  </si>
  <si>
    <t>10.220.80.0</t>
  </si>
  <si>
    <t>10.220.80.2/27</t>
  </si>
  <si>
    <t>Iglesia</t>
  </si>
  <si>
    <t>192.168.40.18</t>
  </si>
  <si>
    <t xml:space="preserve">La Virgen Villagorgona </t>
  </si>
  <si>
    <t>192.168.40.19</t>
  </si>
  <si>
    <t>47.1/27</t>
  </si>
  <si>
    <t>noaplica</t>
  </si>
  <si>
    <t>10.220.47.2/27</t>
  </si>
  <si>
    <t>Samán</t>
  </si>
  <si>
    <t>192.168.40.142</t>
  </si>
  <si>
    <t>192.168.40.79</t>
  </si>
  <si>
    <t>10.220.83.0</t>
  </si>
  <si>
    <t>RouterCarmelo</t>
  </si>
  <si>
    <t>192.168.40.108</t>
  </si>
  <si>
    <t>12.1/27</t>
  </si>
  <si>
    <t>10.220.12.0</t>
  </si>
  <si>
    <t>10.20.25.0</t>
  </si>
  <si>
    <t>10.220.12.2/27</t>
  </si>
  <si>
    <t>Occidente</t>
  </si>
  <si>
    <t>Tienda Nueva</t>
  </si>
  <si>
    <t>192.168.22.31</t>
  </si>
  <si>
    <t>10.220.40.0</t>
  </si>
  <si>
    <t>Potrerillo</t>
  </si>
  <si>
    <t>192.168.22.36</t>
  </si>
  <si>
    <t>192.168.10.13</t>
  </si>
  <si>
    <t>10.220.91.1</t>
  </si>
  <si>
    <t>192.168.46.12</t>
  </si>
  <si>
    <t>10.220.41.0</t>
  </si>
  <si>
    <t>Herradura CAM IP</t>
  </si>
  <si>
    <t>192.168.10.25</t>
  </si>
  <si>
    <t>10.220.57.2</t>
  </si>
  <si>
    <t>OFICINA</t>
  </si>
  <si>
    <t>IP</t>
  </si>
  <si>
    <t>MASCARA</t>
  </si>
  <si>
    <t>GATAWEY</t>
  </si>
  <si>
    <t>Account No</t>
  </si>
  <si>
    <t>Pane Type</t>
  </si>
  <si>
    <t>Version</t>
  </si>
  <si>
    <t>SN</t>
  </si>
  <si>
    <t>Systen Login / Panel ID</t>
  </si>
  <si>
    <t>COM GPRS/IP</t>
  </si>
  <si>
    <t>Edificio Palmira</t>
  </si>
  <si>
    <t>10.220.1.100/24</t>
  </si>
  <si>
    <t>255.255.255.0</t>
  </si>
  <si>
    <t>10.220.1.1</t>
  </si>
  <si>
    <t>0028</t>
  </si>
  <si>
    <t>EVO192</t>
  </si>
  <si>
    <t>07.52.001</t>
  </si>
  <si>
    <t>050ABE43</t>
  </si>
  <si>
    <t>192.168.45.204/23</t>
  </si>
  <si>
    <t>255.255.254.0</t>
  </si>
  <si>
    <t>192.168.44.1</t>
  </si>
  <si>
    <t>0032</t>
  </si>
  <si>
    <t>SP6000</t>
  </si>
  <si>
    <t>07.14.002</t>
  </si>
  <si>
    <t>29F005D4</t>
  </si>
  <si>
    <t>La Italia</t>
  </si>
  <si>
    <t>192.168.20.69/23</t>
  </si>
  <si>
    <t>192.168.20.1</t>
  </si>
  <si>
    <t>0039</t>
  </si>
  <si>
    <t>19 con 35</t>
  </si>
  <si>
    <t>192.168.21.120/23</t>
  </si>
  <si>
    <t>0036</t>
  </si>
  <si>
    <t>Merdes II</t>
  </si>
  <si>
    <t>192.168.20.104/23</t>
  </si>
  <si>
    <t>0037</t>
  </si>
  <si>
    <t>Prado Parque</t>
  </si>
  <si>
    <t>192.168.44.229/23</t>
  </si>
  <si>
    <t>0025</t>
  </si>
  <si>
    <t>07.1x</t>
  </si>
  <si>
    <t>29F001B7</t>
  </si>
  <si>
    <t>candelaria</t>
  </si>
  <si>
    <t>192.168.28.10/24</t>
  </si>
  <si>
    <t>192.168.28.2</t>
  </si>
  <si>
    <t>0033</t>
  </si>
  <si>
    <t>291430E5</t>
  </si>
  <si>
    <t>192.168.40.47/24</t>
  </si>
  <si>
    <t>192.168.40.1</t>
  </si>
  <si>
    <t>0040</t>
  </si>
  <si>
    <t>29F00608</t>
  </si>
  <si>
    <t>Ciudad del Campo</t>
  </si>
  <si>
    <t>192.168.42.54/24</t>
  </si>
  <si>
    <t>192.168.42.1</t>
  </si>
  <si>
    <t>0031</t>
  </si>
  <si>
    <t>2914292A</t>
  </si>
  <si>
    <t>Poblado Campestre</t>
  </si>
  <si>
    <t>192.168.40.133/24</t>
  </si>
  <si>
    <t>0035</t>
  </si>
  <si>
    <t>Villa Gorgona</t>
  </si>
  <si>
    <t>192.168.40.132/24</t>
  </si>
  <si>
    <t>0034</t>
  </si>
  <si>
    <t>Juanchito</t>
  </si>
  <si>
    <t>192.168.42.55/24</t>
  </si>
  <si>
    <t>0030</t>
  </si>
  <si>
    <t>Ofi Florida</t>
  </si>
  <si>
    <t>192.168.32.92/24</t>
  </si>
  <si>
    <t>192.168.32.1</t>
  </si>
  <si>
    <t>0026</t>
  </si>
  <si>
    <t>07.70.001</t>
  </si>
  <si>
    <t>050BBACE</t>
  </si>
  <si>
    <t>Ofi Pradera</t>
  </si>
  <si>
    <t>192.168.25.48/24</t>
  </si>
  <si>
    <t>192.168.25.1</t>
  </si>
  <si>
    <t>0027</t>
  </si>
  <si>
    <t>29142D68</t>
  </si>
  <si>
    <t>Ofi Rozo</t>
  </si>
  <si>
    <t>192.168.18.39/23</t>
  </si>
  <si>
    <t>192.168.18.1</t>
  </si>
  <si>
    <t>0038</t>
  </si>
  <si>
    <t>29F0069A</t>
  </si>
  <si>
    <t>192.168.12.39/24</t>
  </si>
  <si>
    <t>192.168.12.1</t>
  </si>
  <si>
    <t>0041</t>
  </si>
  <si>
    <t>29F00606</t>
  </si>
  <si>
    <t>Bolo</t>
  </si>
  <si>
    <t>192.168.46.101/25</t>
  </si>
  <si>
    <t>255.255.255.128</t>
  </si>
  <si>
    <t>192.168.46.1</t>
  </si>
  <si>
    <t>0029</t>
  </si>
  <si>
    <t>PLACA</t>
  </si>
  <si>
    <t>MARCA</t>
  </si>
  <si>
    <t>LINEA</t>
  </si>
  <si>
    <t>MODELO</t>
  </si>
  <si>
    <t>CILINDRAJE</t>
  </si>
  <si>
    <t>CCTV</t>
  </si>
  <si>
    <t>S/N</t>
  </si>
  <si>
    <t>GPRS ID</t>
  </si>
  <si>
    <t>SIM</t>
  </si>
  <si>
    <t>OPERADOR</t>
  </si>
  <si>
    <t>OSBERVACION</t>
  </si>
  <si>
    <t>DIU838</t>
  </si>
  <si>
    <t>TOYOTA</t>
  </si>
  <si>
    <t>LAND CRUISER 70</t>
  </si>
  <si>
    <t>3.956</t>
  </si>
  <si>
    <t>57101602610303309 | 3132500839</t>
  </si>
  <si>
    <t>Claro</t>
  </si>
  <si>
    <t>Sin Camaras</t>
  </si>
  <si>
    <t>HYN816</t>
  </si>
  <si>
    <t>FORTUNER</t>
  </si>
  <si>
    <t>2.982</t>
  </si>
  <si>
    <t>2 Cam</t>
  </si>
  <si>
    <t>4E00F12PAJ26108</t>
  </si>
  <si>
    <t>57101602610303310 | 3132500908</t>
  </si>
  <si>
    <t>HYQ353</t>
  </si>
  <si>
    <t>4 Cam</t>
  </si>
  <si>
    <t>4E00F14P4J8C199</t>
  </si>
  <si>
    <t>57101602610303311 | 3132500909</t>
  </si>
  <si>
    <t>Camaras antiguas OK</t>
  </si>
  <si>
    <t>FQY217</t>
  </si>
  <si>
    <t>2.694</t>
  </si>
  <si>
    <t>4E089E9PAJ5D255</t>
  </si>
  <si>
    <t>57101602610303312 | 3132501011</t>
  </si>
  <si>
    <t>LKW770</t>
  </si>
  <si>
    <t>PRADO</t>
  </si>
  <si>
    <t>4E00F12PAJC6E3D</t>
  </si>
  <si>
    <t>57101602610303313 | 3132501034</t>
  </si>
  <si>
    <t>LKX241</t>
  </si>
  <si>
    <t>HILUX</t>
  </si>
  <si>
    <t>3 Cam</t>
  </si>
  <si>
    <t>4E00F12PAJ6B3D8</t>
  </si>
  <si>
    <t>57101602610303314 | 3132501105</t>
  </si>
  <si>
    <t>LSR465</t>
  </si>
  <si>
    <t>4E00F12P4J65836</t>
  </si>
  <si>
    <t>57101602610303315 | 3132501127</t>
  </si>
  <si>
    <t>Catálogos controlados</t>
  </si>
  <si>
    <t>Valores válidos para scripts y edición humana. Agregar opciones aquí antes de usarlas en hojas normalizadas.</t>
  </si>
  <si>
    <t>ESTADO_PROYECTO</t>
  </si>
  <si>
    <t>TIPO_ACTIVO</t>
  </si>
  <si>
    <t>TECNOLOGIA</t>
  </si>
  <si>
    <t>CICLO_VIDA</t>
  </si>
  <si>
    <t>COBERTURA_CCTV</t>
  </si>
  <si>
    <t>ZONA</t>
  </si>
  <si>
    <t>CALIDAD</t>
  </si>
  <si>
    <t>MATCH</t>
  </si>
  <si>
    <t>PLANIFICADO</t>
  </si>
  <si>
    <t>GRABADOR</t>
  </si>
  <si>
    <t>POR_VALIDAR</t>
  </si>
  <si>
    <t>CON_CCTV</t>
  </si>
  <si>
    <t>COINCIDENCIA_EXACTA</t>
  </si>
  <si>
    <t>EN_EJECUCION</t>
  </si>
  <si>
    <t>CAMARA_AUTONOMA_MICROSD</t>
  </si>
  <si>
    <t>VIDEO_ANALITICA</t>
  </si>
  <si>
    <t>ACTIVO</t>
  </si>
  <si>
    <t>SIN_CCTV</t>
  </si>
  <si>
    <t>MODELO_PENDIENTE</t>
  </si>
  <si>
    <t>PENDIENTE_CONCILIACION</t>
  </si>
  <si>
    <t>IMPLEMENTADO</t>
  </si>
  <si>
    <t>PANEL_ALARMA</t>
  </si>
  <si>
    <t>RECONOCIMIENTO_FACIAL</t>
  </si>
  <si>
    <t>EN_MANTENIMIENTO</t>
  </si>
  <si>
    <t>IP_GRABADOR_PENDIENTE</t>
  </si>
  <si>
    <t>ALIAS_VALIDADO</t>
  </si>
  <si>
    <t>PAUSADO</t>
  </si>
  <si>
    <t>MVR</t>
  </si>
  <si>
    <t>ANPR</t>
  </si>
  <si>
    <t>RETIRADO</t>
  </si>
  <si>
    <t>NO_APLICA</t>
  </si>
  <si>
    <t>SIN_PUNTO</t>
  </si>
  <si>
    <t>CANCELADO</t>
  </si>
  <si>
    <t>NVR</t>
  </si>
  <si>
    <t>CAMARA_CON_ALARMA</t>
  </si>
  <si>
    <t>OBSOLETO</t>
  </si>
  <si>
    <t>POR_REVISAR</t>
  </si>
  <si>
    <t>CAMARA_IP_LEGACY</t>
  </si>
  <si>
    <t>K35_LEGACY</t>
  </si>
  <si>
    <t>RENOVACION_PRIORITARIA</t>
  </si>
  <si>
    <t>MODELO_EXACTO_K35_PENDIENTE</t>
  </si>
  <si>
    <t>Ubicaciones</t>
  </si>
  <si>
    <t>PENDIENTE_CONCILIACION significa: confirmar si Nombre canónico y Candidato del inventario son el mismo punto. No implica pérdida de información.</t>
  </si>
  <si>
    <t>ID Ubicación</t>
  </si>
  <si>
    <t>Código SIIS</t>
  </si>
  <si>
    <t>Nombre canónico</t>
  </si>
  <si>
    <t>Zona</t>
  </si>
  <si>
    <t>R1</t>
  </si>
  <si>
    <t>R2</t>
  </si>
  <si>
    <t>R3</t>
  </si>
  <si>
    <t>Estado conciliación</t>
  </si>
  <si>
    <t>Candidato del inventario</t>
  </si>
  <si>
    <t>Confianza sugerencia</t>
  </si>
  <si>
    <t>Cobertura CCTV</t>
  </si>
  <si>
    <t>ID dispositivo</t>
  </si>
  <si>
    <t>Fila fuente mantenimiento</t>
  </si>
  <si>
    <t>Decisión humana</t>
  </si>
  <si>
    <t>LOC-0001</t>
  </si>
  <si>
    <t>2220</t>
  </si>
  <si>
    <t>OfiPpalPalmira</t>
  </si>
  <si>
    <t>PENDIENTE</t>
  </si>
  <si>
    <t>LOC-0002</t>
  </si>
  <si>
    <t>3051</t>
  </si>
  <si>
    <t>LOC-0003</t>
  </si>
  <si>
    <t>3761</t>
  </si>
  <si>
    <t>Parqueadero Ganador</t>
  </si>
  <si>
    <t>LOC-0004</t>
  </si>
  <si>
    <t>2214</t>
  </si>
  <si>
    <t>Cigarra</t>
  </si>
  <si>
    <t>LOC-0005</t>
  </si>
  <si>
    <t>3333</t>
  </si>
  <si>
    <t>ParqueBolivar</t>
  </si>
  <si>
    <t>LOC-0006</t>
  </si>
  <si>
    <t>2301</t>
  </si>
  <si>
    <t>ParquePrado</t>
  </si>
  <si>
    <t>LOC-0007</t>
  </si>
  <si>
    <t>2283</t>
  </si>
  <si>
    <t>DEV-0010</t>
  </si>
  <si>
    <t>NO_REQUERIDA</t>
  </si>
  <si>
    <t>LOC-0008</t>
  </si>
  <si>
    <t>3931</t>
  </si>
  <si>
    <t>DEV-0011</t>
  </si>
  <si>
    <t>LOC-0009</t>
  </si>
  <si>
    <t>4126</t>
  </si>
  <si>
    <t>DROGUERIA PRADO II</t>
  </si>
  <si>
    <t>LOC-0010</t>
  </si>
  <si>
    <t>2380</t>
  </si>
  <si>
    <t>Ignacio Torres</t>
  </si>
  <si>
    <t>LOC-0011</t>
  </si>
  <si>
    <t>3087</t>
  </si>
  <si>
    <t>DEV-0015</t>
  </si>
  <si>
    <t>LOC-0012</t>
  </si>
  <si>
    <t>3054</t>
  </si>
  <si>
    <t>Antigua principal</t>
  </si>
  <si>
    <t>LOC-0013</t>
  </si>
  <si>
    <t>2306</t>
  </si>
  <si>
    <t>CC Llanogrande</t>
  </si>
  <si>
    <t>LOC-0014</t>
  </si>
  <si>
    <t>3733</t>
  </si>
  <si>
    <t>DEV-0026</t>
  </si>
  <si>
    <t>LOC-0015</t>
  </si>
  <si>
    <t>2242</t>
  </si>
  <si>
    <t>Carrefour Metro</t>
  </si>
  <si>
    <t>LOC-0016</t>
  </si>
  <si>
    <t>2243</t>
  </si>
  <si>
    <t>Berlín</t>
  </si>
  <si>
    <t>LOC-0017</t>
  </si>
  <si>
    <t>3134</t>
  </si>
  <si>
    <t>DEV-0029</t>
  </si>
  <si>
    <t>LOC-0018</t>
  </si>
  <si>
    <t>3776</t>
  </si>
  <si>
    <t>DEV-0030</t>
  </si>
  <si>
    <t>LOC-0019</t>
  </si>
  <si>
    <t>2316</t>
  </si>
  <si>
    <t>Frai Luis</t>
  </si>
  <si>
    <t>LOC-0020</t>
  </si>
  <si>
    <t>3774</t>
  </si>
  <si>
    <t>19 con 33</t>
  </si>
  <si>
    <t>LOC-0021</t>
  </si>
  <si>
    <t>2886</t>
  </si>
  <si>
    <t>DEV-0032</t>
  </si>
  <si>
    <t>LOC-0022</t>
  </si>
  <si>
    <t>4157</t>
  </si>
  <si>
    <t>19 con 37 II</t>
  </si>
  <si>
    <t>LOC-0023</t>
  </si>
  <si>
    <t>2257</t>
  </si>
  <si>
    <t>DEV-0033</t>
  </si>
  <si>
    <t>LOC-0024</t>
  </si>
  <si>
    <t>OLIMPICO I</t>
  </si>
  <si>
    <t>OLIMPICO 3</t>
  </si>
  <si>
    <t>LOC-0025</t>
  </si>
  <si>
    <t>3980</t>
  </si>
  <si>
    <t>LOC-0026</t>
  </si>
  <si>
    <t>2277</t>
  </si>
  <si>
    <t>LOC-0027</t>
  </si>
  <si>
    <t>3839</t>
  </si>
  <si>
    <t>Parque Italia Principal</t>
  </si>
  <si>
    <t>LOC-0028</t>
  </si>
  <si>
    <t>4130</t>
  </si>
  <si>
    <t>DEV-0014</t>
  </si>
  <si>
    <t>LOC-0029</t>
  </si>
  <si>
    <t>3815</t>
  </si>
  <si>
    <t>RIVERA ESCOBAR</t>
  </si>
  <si>
    <t>LOC-0030</t>
  </si>
  <si>
    <t>2420</t>
  </si>
  <si>
    <t>DEV-0040</t>
  </si>
  <si>
    <t>LOC-0031</t>
  </si>
  <si>
    <t>3062</t>
  </si>
  <si>
    <t>DEV-0021</t>
  </si>
  <si>
    <t>LOC-0032</t>
  </si>
  <si>
    <t>3845</t>
  </si>
  <si>
    <t>CAICELANDIA 2</t>
  </si>
  <si>
    <t>LOC-0033</t>
  </si>
  <si>
    <t>Expreso Palmira</t>
  </si>
  <si>
    <t>LOC-0034</t>
  </si>
  <si>
    <t>2422</t>
  </si>
  <si>
    <t>La 19 con 35 NVR</t>
  </si>
  <si>
    <t>LOC-0035</t>
  </si>
  <si>
    <t>3123</t>
  </si>
  <si>
    <t>DEV-0042</t>
  </si>
  <si>
    <t>LOC-0036</t>
  </si>
  <si>
    <t>3739</t>
  </si>
  <si>
    <t>DEV-0043</t>
  </si>
  <si>
    <t>LOC-0037</t>
  </si>
  <si>
    <t>2371</t>
  </si>
  <si>
    <t>DEV-0044</t>
  </si>
  <si>
    <t>LOC-0038</t>
  </si>
  <si>
    <t>2923</t>
  </si>
  <si>
    <t>Pikos II</t>
  </si>
  <si>
    <t>LOC-0039</t>
  </si>
  <si>
    <t>2387</t>
  </si>
  <si>
    <t>Marden la 47</t>
  </si>
  <si>
    <t>LOC-0040</t>
  </si>
  <si>
    <t>3763</t>
  </si>
  <si>
    <t>DEV-0047</t>
  </si>
  <si>
    <t>LOC-0041</t>
  </si>
  <si>
    <t>2413</t>
  </si>
  <si>
    <t>Portal Palmas III</t>
  </si>
  <si>
    <t>LOC-0042</t>
  </si>
  <si>
    <t>2356</t>
  </si>
  <si>
    <t>DEV-0051</t>
  </si>
  <si>
    <t>LOC-0043</t>
  </si>
  <si>
    <t>2351</t>
  </si>
  <si>
    <t>Zamorano III</t>
  </si>
  <si>
    <t>LOC-0044</t>
  </si>
  <si>
    <t>3208</t>
  </si>
  <si>
    <t>Uribe</t>
  </si>
  <si>
    <t>Tienda Uribe</t>
  </si>
  <si>
    <t>LOC-0045</t>
  </si>
  <si>
    <t>4067</t>
  </si>
  <si>
    <t>Reservas de la Italia</t>
  </si>
  <si>
    <t>LOC-0046</t>
  </si>
  <si>
    <t>3169</t>
  </si>
  <si>
    <t>Mariacano</t>
  </si>
  <si>
    <t>LOC-0047</t>
  </si>
  <si>
    <t>3043</t>
  </si>
  <si>
    <t>DEV-0057</t>
  </si>
  <si>
    <t>LOC-0048</t>
  </si>
  <si>
    <t>2249</t>
  </si>
  <si>
    <t>DEV-0023</t>
  </si>
  <si>
    <t>LOC-0049</t>
  </si>
  <si>
    <t>POPULAR MODELO III CAM</t>
  </si>
  <si>
    <t>LOC-0050</t>
  </si>
  <si>
    <t>4088</t>
  </si>
  <si>
    <t>DEV-0053</t>
  </si>
  <si>
    <t>LOC-0051</t>
  </si>
  <si>
    <t>2291</t>
  </si>
  <si>
    <t>DEV-0059</t>
  </si>
  <si>
    <t>LOC-0052</t>
  </si>
  <si>
    <t>4044</t>
  </si>
  <si>
    <t>Tienda Costa Rica</t>
  </si>
  <si>
    <t>LOC-0053</t>
  </si>
  <si>
    <t>4124</t>
  </si>
  <si>
    <t>Alameda V</t>
  </si>
  <si>
    <t>LOC-0054</t>
  </si>
  <si>
    <t>4139</t>
  </si>
  <si>
    <t>Olimpico III</t>
  </si>
  <si>
    <t>LOC-0055</t>
  </si>
  <si>
    <t>4114</t>
  </si>
  <si>
    <t>La Cosecha III</t>
  </si>
  <si>
    <t>LOC-0056</t>
  </si>
  <si>
    <t>1978</t>
  </si>
  <si>
    <t>DEV-0063</t>
  </si>
  <si>
    <t>LOC-0057</t>
  </si>
  <si>
    <t>Belarcazar</t>
  </si>
  <si>
    <t>LOC-0058</t>
  </si>
  <si>
    <t>2739</t>
  </si>
  <si>
    <t>Ant Principal</t>
  </si>
  <si>
    <t>LOC-0059</t>
  </si>
  <si>
    <t>2798</t>
  </si>
  <si>
    <t>DEV-0098</t>
  </si>
  <si>
    <t>LOC-0060</t>
  </si>
  <si>
    <t>2152</t>
  </si>
  <si>
    <t>DEV-0100</t>
  </si>
  <si>
    <t>LOC-0061</t>
  </si>
  <si>
    <t>2133</t>
  </si>
  <si>
    <t>DEV-0101</t>
  </si>
  <si>
    <t>LOC-0062</t>
  </si>
  <si>
    <t>Estadio Palmaseca</t>
  </si>
  <si>
    <t>LOC-0063</t>
  </si>
  <si>
    <t>3762</t>
  </si>
  <si>
    <t>Buitrera</t>
  </si>
  <si>
    <t>LOC-0064</t>
  </si>
  <si>
    <t>2138</t>
  </si>
  <si>
    <t>Guanabanal</t>
  </si>
  <si>
    <t>LOC-0065</t>
  </si>
  <si>
    <t>2153</t>
  </si>
  <si>
    <t>La Herradura</t>
  </si>
  <si>
    <t>LOC-0066</t>
  </si>
  <si>
    <t>1975</t>
  </si>
  <si>
    <t>Ofi ppa Amaime</t>
  </si>
  <si>
    <t>LOC-0067</t>
  </si>
  <si>
    <t>2199</t>
  </si>
  <si>
    <t>Los Parrales</t>
  </si>
  <si>
    <t>LOC-0068</t>
  </si>
  <si>
    <t>2165</t>
  </si>
  <si>
    <t>Amaime1</t>
  </si>
  <si>
    <t>LOC-0069</t>
  </si>
  <si>
    <t>Carmen 1</t>
  </si>
  <si>
    <t>LOC-0070</t>
  </si>
  <si>
    <t>3290</t>
  </si>
  <si>
    <t>Calle Comercio K35</t>
  </si>
  <si>
    <t>DEV-0067</t>
  </si>
  <si>
    <t>LOC-0071</t>
  </si>
  <si>
    <t>2168</t>
  </si>
  <si>
    <t>DEV-0069</t>
  </si>
  <si>
    <t>LOC-0072</t>
  </si>
  <si>
    <t>2039</t>
  </si>
  <si>
    <t>OficinaPPalPradera</t>
  </si>
  <si>
    <t>LOC-0073</t>
  </si>
  <si>
    <t>3044</t>
  </si>
  <si>
    <t>Panchinita_24.201</t>
  </si>
  <si>
    <t>LOC-0074</t>
  </si>
  <si>
    <t>ParquePradera</t>
  </si>
  <si>
    <t>LOC-0075</t>
  </si>
  <si>
    <t>2054</t>
  </si>
  <si>
    <t>DEV-0081</t>
  </si>
  <si>
    <t>LOC-0076</t>
  </si>
  <si>
    <t>3856</t>
  </si>
  <si>
    <t>DEV-0083</t>
  </si>
  <si>
    <t>LOC-0077</t>
  </si>
  <si>
    <t>2034</t>
  </si>
  <si>
    <t>Billares Manhantan</t>
  </si>
  <si>
    <t>LOC-0078</t>
  </si>
  <si>
    <t>3155</t>
  </si>
  <si>
    <t>Bingo la sexta</t>
  </si>
  <si>
    <t>DEV-0082</t>
  </si>
  <si>
    <t>LOC-0079</t>
  </si>
  <si>
    <t>4079</t>
  </si>
  <si>
    <t>La colina Pradera</t>
  </si>
  <si>
    <t>LOC-0080</t>
  </si>
  <si>
    <t>1981</t>
  </si>
  <si>
    <t>Ofippal Florida - La octava</t>
  </si>
  <si>
    <t>LOC-0081</t>
  </si>
  <si>
    <t>4122</t>
  </si>
  <si>
    <t>La Novena</t>
  </si>
  <si>
    <t>DEV-0075</t>
  </si>
  <si>
    <t>LOC-0082</t>
  </si>
  <si>
    <t>3717</t>
  </si>
  <si>
    <t>Esmeralda</t>
  </si>
  <si>
    <t>LOC-0083</t>
  </si>
  <si>
    <t>2081</t>
  </si>
  <si>
    <t>Libardo</t>
  </si>
  <si>
    <t>LOC-0084</t>
  </si>
  <si>
    <t>2073</t>
  </si>
  <si>
    <t>Ant PpalFlorida</t>
  </si>
  <si>
    <t>LOC-0085</t>
  </si>
  <si>
    <t>2682</t>
  </si>
  <si>
    <t>Las Americas</t>
  </si>
  <si>
    <t>LOC-0086</t>
  </si>
  <si>
    <t>1979</t>
  </si>
  <si>
    <t>DEV-0085</t>
  </si>
  <si>
    <t>LOC-0087</t>
  </si>
  <si>
    <t>3863</t>
  </si>
  <si>
    <t>El saman VG</t>
  </si>
  <si>
    <t>LOC-0088</t>
  </si>
  <si>
    <t>1672</t>
  </si>
  <si>
    <t>GaleriaCande</t>
  </si>
  <si>
    <t>LOC-0089</t>
  </si>
  <si>
    <t>2443</t>
  </si>
  <si>
    <t>DEV-0087</t>
  </si>
  <si>
    <t>LOC-0090</t>
  </si>
  <si>
    <t>2919</t>
  </si>
  <si>
    <t>Juanchito CR torre la Pereira</t>
  </si>
  <si>
    <t>LOC-0091</t>
  </si>
  <si>
    <t>3195</t>
  </si>
  <si>
    <t>Oficina Ciudad Campo</t>
  </si>
  <si>
    <t>LOC-0092</t>
  </si>
  <si>
    <t>Las Brisas Villa Gorgona</t>
  </si>
  <si>
    <t>La Virgen Villagorgona</t>
  </si>
  <si>
    <t>LOC-0093</t>
  </si>
  <si>
    <t>1683</t>
  </si>
  <si>
    <t>DEV-0090</t>
  </si>
  <si>
    <t>LOC-0094</t>
  </si>
  <si>
    <t>1743</t>
  </si>
  <si>
    <t>Fanny Romero Ofi poblado</t>
  </si>
  <si>
    <t>LOC-0095</t>
  </si>
  <si>
    <t>1729</t>
  </si>
  <si>
    <t>DEV-0096</t>
  </si>
  <si>
    <t>LOC-0096</t>
  </si>
  <si>
    <t>1693</t>
  </si>
  <si>
    <t>Oficina Carmelo</t>
  </si>
  <si>
    <t>LOC-0097</t>
  </si>
  <si>
    <t>3951</t>
  </si>
  <si>
    <t>Iglesia Villagorgona</t>
  </si>
  <si>
    <t>LOC-0098</t>
  </si>
  <si>
    <t>1690</t>
  </si>
  <si>
    <t>DEV-0091</t>
  </si>
  <si>
    <t>LOC-0099</t>
  </si>
  <si>
    <t>4115</t>
  </si>
  <si>
    <t>La Virgen Villa Gorgona</t>
  </si>
  <si>
    <t>Dispositivos</t>
  </si>
  <si>
    <t>Maestro heredado enriquecido solo con coincidencias DSS unívocas. Un canal = cámara autónoma con microSD; K35 = renovación prioritaria.</t>
  </si>
  <si>
    <t>ID Dispositivo</t>
  </si>
  <si>
    <t>Device ID DSS</t>
  </si>
  <si>
    <t>Punto origen</t>
  </si>
  <si>
    <t>Nombre DSS</t>
  </si>
  <si>
    <t>Tipo activo</t>
  </si>
  <si>
    <t>Tipo DSS</t>
  </si>
  <si>
    <t>Fabricante</t>
  </si>
  <si>
    <t>Modelo</t>
  </si>
  <si>
    <t>Fuente modelo</t>
  </si>
  <si>
    <t>Tecnología</t>
  </si>
  <si>
    <t>Canales</t>
  </si>
  <si>
    <t>Almacenamiento</t>
  </si>
  <si>
    <t>IP HapLite</t>
  </si>
  <si>
    <t>Red secundaria</t>
  </si>
  <si>
    <t>Red CCTV</t>
  </si>
  <si>
    <t>Red WiFi</t>
  </si>
  <si>
    <t>Puerto</t>
  </si>
  <si>
    <t>IP dispositivo / grabador</t>
  </si>
  <si>
    <t>Organización DSS</t>
  </si>
  <si>
    <t>Captura evidencia</t>
  </si>
  <si>
    <t>Firmware</t>
  </si>
  <si>
    <t>Monitoreo</t>
  </si>
  <si>
    <t>Analítica</t>
  </si>
  <si>
    <t>Ciclo de vida</t>
  </si>
  <si>
    <t>Calidad</t>
  </si>
  <si>
    <t>Fila fuente</t>
  </si>
  <si>
    <t>DEV-0001</t>
  </si>
  <si>
    <t>1000175</t>
  </si>
  <si>
    <t>Ofi Ppal-Cajas_Pto_Venta</t>
  </si>
  <si>
    <t>Dahua</t>
  </si>
  <si>
    <t>DHI-NVR5864-EI</t>
  </si>
  <si>
    <t>DSS_CAPTURA</t>
  </si>
  <si>
    <t>GRABADOR_LOCAL</t>
  </si>
  <si>
    <t>Current Site/GANE PALMIRA/PALMIRA/EDIFICIO PPAL</t>
  </si>
  <si>
    <t>Edificio Ppal.png</t>
  </si>
  <si>
    <t>DEV-0002</t>
  </si>
  <si>
    <t>1000002</t>
  </si>
  <si>
    <t>Edificio Ppal Palmira</t>
  </si>
  <si>
    <t>CCTV_CONVENCIONAL</t>
  </si>
  <si>
    <t>DEV-0003</t>
  </si>
  <si>
    <t>MODELO_PENDIENTE; IP_GRABADOR_PENDIENTE</t>
  </si>
  <si>
    <t>DEV-0004</t>
  </si>
  <si>
    <t>1000004</t>
  </si>
  <si>
    <t>Tesoreria Conteo</t>
  </si>
  <si>
    <t>DHI-NVR4416-4KS2</t>
  </si>
  <si>
    <t>DEV-0005</t>
  </si>
  <si>
    <t>1000014</t>
  </si>
  <si>
    <t>El Ganador</t>
  </si>
  <si>
    <t>DHI-NVR4208-4KS2</t>
  </si>
  <si>
    <t>37777</t>
  </si>
  <si>
    <t>Current Site/GANE PALMIRA/PALMIRA/RED 36</t>
  </si>
  <si>
    <t>red 36.png</t>
  </si>
  <si>
    <t>DEV-0006</t>
  </si>
  <si>
    <t>1000158</t>
  </si>
  <si>
    <t>DHI-NVR5208-EI2</t>
  </si>
  <si>
    <t>DEV-0007</t>
  </si>
  <si>
    <t>1000167</t>
  </si>
  <si>
    <t>NVR Parqueadero Parque Bolivar</t>
  </si>
  <si>
    <t>DHI-NVR4232-4KS2/L</t>
  </si>
  <si>
    <t>DEV-0008</t>
  </si>
  <si>
    <t>1000012</t>
  </si>
  <si>
    <t>Parque Bolivar Cajas PtoVenta</t>
  </si>
  <si>
    <t>DHI-NVR4232-4KS2</t>
  </si>
  <si>
    <t>4455</t>
  </si>
  <si>
    <t>DEV-0009</t>
  </si>
  <si>
    <t>1000005</t>
  </si>
  <si>
    <t>4456</t>
  </si>
  <si>
    <t>Current Site/GANE PALMIRA/PALMIRA/RED 44</t>
  </si>
  <si>
    <t>Red 44.png</t>
  </si>
  <si>
    <t>1000177</t>
  </si>
  <si>
    <t>La independencia</t>
  </si>
  <si>
    <t>DEV-0012</t>
  </si>
  <si>
    <t>1000015</t>
  </si>
  <si>
    <t>DEV-0013</t>
  </si>
  <si>
    <t>1000016</t>
  </si>
  <si>
    <t>DHI-NVR5208-E</t>
  </si>
  <si>
    <t>1000169</t>
  </si>
  <si>
    <t>1000124</t>
  </si>
  <si>
    <t>DHI-NVR4216-4KS2/L</t>
  </si>
  <si>
    <t>DEV-0016</t>
  </si>
  <si>
    <t>1000017</t>
  </si>
  <si>
    <t>Fray Luis</t>
  </si>
  <si>
    <t>DEV-0017</t>
  </si>
  <si>
    <t>DEV-0018</t>
  </si>
  <si>
    <t>1000009</t>
  </si>
  <si>
    <t>DHI-NVR5208-EI</t>
  </si>
  <si>
    <t>CCTV_CON_ALARMA</t>
  </si>
  <si>
    <t>DEV-0019</t>
  </si>
  <si>
    <t>1000079</t>
  </si>
  <si>
    <t>Casa La 27</t>
  </si>
  <si>
    <t>DEV-0020</t>
  </si>
  <si>
    <t>1000035</t>
  </si>
  <si>
    <t>Pikos</t>
  </si>
  <si>
    <t>DHI-NVR4108HS-EI</t>
  </si>
  <si>
    <t>1000180</t>
  </si>
  <si>
    <t>CAMARA_IP</t>
  </si>
  <si>
    <t>IPC</t>
  </si>
  <si>
    <t>DH-IPC-HDBW3441R-AS-P</t>
  </si>
  <si>
    <t>MICROSD</t>
  </si>
  <si>
    <t>red 44 1.png</t>
  </si>
  <si>
    <t>DEV-0022</t>
  </si>
  <si>
    <t>1000151</t>
  </si>
  <si>
    <t>1000084</t>
  </si>
  <si>
    <t>Colombia Cabinas</t>
  </si>
  <si>
    <t>IPC-K35</t>
  </si>
  <si>
    <t>DEV-0024</t>
  </si>
  <si>
    <t>1000018</t>
  </si>
  <si>
    <t>AntPpal</t>
  </si>
  <si>
    <t>Antigua Ppal</t>
  </si>
  <si>
    <t>DEV-0025</t>
  </si>
  <si>
    <t>1000008</t>
  </si>
  <si>
    <t>Llanogrande Plaza</t>
  </si>
  <si>
    <t>Current Site/GANE PALMIRA/PALMIRA/RED 20</t>
  </si>
  <si>
    <t>red 20 1.png</t>
  </si>
  <si>
    <t>1000019</t>
  </si>
  <si>
    <t>DEV-0027</t>
  </si>
  <si>
    <t>1000020</t>
  </si>
  <si>
    <t>red 20.png</t>
  </si>
  <si>
    <t>DEV-0028</t>
  </si>
  <si>
    <t>SIN_PUNTO; MODELO_PENDIENTE</t>
  </si>
  <si>
    <t>1000011</t>
  </si>
  <si>
    <t>1000021</t>
  </si>
  <si>
    <t>DEV-0031</t>
  </si>
  <si>
    <t>1000178</t>
  </si>
  <si>
    <t>1000115</t>
  </si>
  <si>
    <t>1000023</t>
  </si>
  <si>
    <t>Obrero I</t>
  </si>
  <si>
    <t>DEV-0034</t>
  </si>
  <si>
    <t>1000160</t>
  </si>
  <si>
    <t>Berlín Palmira</t>
  </si>
  <si>
    <t>DEV-0035</t>
  </si>
  <si>
    <t>DEV-0036</t>
  </si>
  <si>
    <t>1000164</t>
  </si>
  <si>
    <t>Guayacanes del Ingenio</t>
  </si>
  <si>
    <t>DEV-0037</t>
  </si>
  <si>
    <t>1000091</t>
  </si>
  <si>
    <t>DEV-0038</t>
  </si>
  <si>
    <t>1000025</t>
  </si>
  <si>
    <t>Parques de la Italia Ppal</t>
  </si>
  <si>
    <t>DEV-0039</t>
  </si>
  <si>
    <t>1000146</t>
  </si>
  <si>
    <t>Rivera Escobar</t>
  </si>
  <si>
    <t>DHI-NVR4208-4KS3</t>
  </si>
  <si>
    <t>1000181</t>
  </si>
  <si>
    <t>Petruc</t>
  </si>
  <si>
    <t>DEV-0041</t>
  </si>
  <si>
    <t>1000132</t>
  </si>
  <si>
    <t>Caicelandia</t>
  </si>
  <si>
    <t>1000133</t>
  </si>
  <si>
    <t>CC_Unicentro</t>
  </si>
  <si>
    <t>1000030</t>
  </si>
  <si>
    <t>1000109</t>
  </si>
  <si>
    <t>Las Americas Palmira</t>
  </si>
  <si>
    <t>DEV-0045</t>
  </si>
  <si>
    <t>DEV-0046</t>
  </si>
  <si>
    <t>1000043</t>
  </si>
  <si>
    <t>Current Site/GANE PALMIRA/PALMIRA/RED 14</t>
  </si>
  <si>
    <t>red 14.png</t>
  </si>
  <si>
    <t>1000044</t>
  </si>
  <si>
    <t>DEV-0048</t>
  </si>
  <si>
    <t>1000048</t>
  </si>
  <si>
    <t>DEV-0049</t>
  </si>
  <si>
    <t>1000050</t>
  </si>
  <si>
    <t>DEV-0050</t>
  </si>
  <si>
    <t>1000051</t>
  </si>
  <si>
    <t>1000165</t>
  </si>
  <si>
    <t>DEV-0052</t>
  </si>
  <si>
    <t>1000052</t>
  </si>
  <si>
    <t>1000134</t>
  </si>
  <si>
    <t>DEV-0054</t>
  </si>
  <si>
    <t>1000114</t>
  </si>
  <si>
    <t>DH-IPC-HDBW3441E-AS-S2</t>
  </si>
  <si>
    <t>DEV-0055</t>
  </si>
  <si>
    <t>1000034</t>
  </si>
  <si>
    <t>La Buitrera</t>
  </si>
  <si>
    <t>Current Site/GANE PALMIRA/OCCIDENTE</t>
  </si>
  <si>
    <t>occidente.png</t>
  </si>
  <si>
    <t>DEV-0056</t>
  </si>
  <si>
    <t>1000053</t>
  </si>
  <si>
    <t>Current Site/GANE PALMIRA/PALMIRA/RED 34</t>
  </si>
  <si>
    <t>red 34.png</t>
  </si>
  <si>
    <t>1000086</t>
  </si>
  <si>
    <t>DEV-0058</t>
  </si>
  <si>
    <t>K35 (modelo exacto pendiente)</t>
  </si>
  <si>
    <t>INFERIDO_K35</t>
  </si>
  <si>
    <t>1000126</t>
  </si>
  <si>
    <t>Marden del bosque</t>
  </si>
  <si>
    <t>DEV-0060</t>
  </si>
  <si>
    <t>DEV-0061</t>
  </si>
  <si>
    <t>DEV-0062</t>
  </si>
  <si>
    <t>1000042</t>
  </si>
  <si>
    <t>Oficina Ppal Rozo</t>
  </si>
  <si>
    <t>DHI-NVR4216-16P-4KS2</t>
  </si>
  <si>
    <t>Current Site/GANE PALMIRA/ROZO</t>
  </si>
  <si>
    <t>rozo.png</t>
  </si>
  <si>
    <t>DEV-0064</t>
  </si>
  <si>
    <t>1000041</t>
  </si>
  <si>
    <t>Antigua Ppal Rozo</t>
  </si>
  <si>
    <t>DEV-0065</t>
  </si>
  <si>
    <t>1000037</t>
  </si>
  <si>
    <t>DVR_XVR</t>
  </si>
  <si>
    <t>DVR/XVR</t>
  </si>
  <si>
    <t>DHI-HCVR5108HS-53</t>
  </si>
  <si>
    <t>Current Site/GANE PALMIRA/AMAIME</t>
  </si>
  <si>
    <t>amaime.png</t>
  </si>
  <si>
    <t>DEV-0066</t>
  </si>
  <si>
    <t>1000038</t>
  </si>
  <si>
    <t>Amaime I</t>
  </si>
  <si>
    <t>1000161</t>
  </si>
  <si>
    <t>Calle del Comercio</t>
  </si>
  <si>
    <t>DEV-0068</t>
  </si>
  <si>
    <t>1000040</t>
  </si>
  <si>
    <t>DEV-0070</t>
  </si>
  <si>
    <t>DEV-0071</t>
  </si>
  <si>
    <t>1000100</t>
  </si>
  <si>
    <t>La Esmeralda Florida</t>
  </si>
  <si>
    <t>Current Site/GANE PALMIRA/FLORIDA</t>
  </si>
  <si>
    <t>florida.png</t>
  </si>
  <si>
    <t>DEV-0072</t>
  </si>
  <si>
    <t>1000130</t>
  </si>
  <si>
    <t>Libardo Florida</t>
  </si>
  <si>
    <t>DEV-0073</t>
  </si>
  <si>
    <t>1000157</t>
  </si>
  <si>
    <t>La Octava Florida</t>
  </si>
  <si>
    <t>DEV-0074</t>
  </si>
  <si>
    <t>1000057</t>
  </si>
  <si>
    <t>1000062</t>
  </si>
  <si>
    <t>La novena</t>
  </si>
  <si>
    <t>La Novena Florida</t>
  </si>
  <si>
    <t>DEV-0076</t>
  </si>
  <si>
    <t>1000060</t>
  </si>
  <si>
    <t>DH-IPC-HDBW2441E-S</t>
  </si>
  <si>
    <t>DEV-0077</t>
  </si>
  <si>
    <t>DEV-0078</t>
  </si>
  <si>
    <t>1000056</t>
  </si>
  <si>
    <t>Current Site/GANE PALMIRA/PRADERA</t>
  </si>
  <si>
    <t>pradera.png</t>
  </si>
  <si>
    <t>DEV-0079</t>
  </si>
  <si>
    <t>DEV-0080</t>
  </si>
  <si>
    <t>1000168</t>
  </si>
  <si>
    <t>La Colina Pradera</t>
  </si>
  <si>
    <t>1000047</t>
  </si>
  <si>
    <t>La Bodega Pradera</t>
  </si>
  <si>
    <t>1000045</t>
  </si>
  <si>
    <t>1000054</t>
  </si>
  <si>
    <t>DEV-0084</t>
  </si>
  <si>
    <t>1000098</t>
  </si>
  <si>
    <t>Manhatan</t>
  </si>
  <si>
    <t>1000153</t>
  </si>
  <si>
    <t>DHI-NVR5232-E1</t>
  </si>
  <si>
    <t>Current Site/GANE PALMIRA/CANDELARIA</t>
  </si>
  <si>
    <t>cande.png</t>
  </si>
  <si>
    <t>DEV-0086</t>
  </si>
  <si>
    <t>1000103</t>
  </si>
  <si>
    <t>Galeria Candelaria</t>
  </si>
  <si>
    <t>1000102</t>
  </si>
  <si>
    <t>Registraduria Candelaria</t>
  </si>
  <si>
    <t>DEV-0088</t>
  </si>
  <si>
    <t>1000070</t>
  </si>
  <si>
    <t>La pereira Torre</t>
  </si>
  <si>
    <t>DEV-0089</t>
  </si>
  <si>
    <t>1000071</t>
  </si>
  <si>
    <t>Ofi Ciudad del Campo</t>
  </si>
  <si>
    <t>1000063</t>
  </si>
  <si>
    <t>20 de Julio VG</t>
  </si>
  <si>
    <t>1000072</t>
  </si>
  <si>
    <t>Oficina Ppal VillaGorgona</t>
  </si>
  <si>
    <t>DEV-0092</t>
  </si>
  <si>
    <t>1000073</t>
  </si>
  <si>
    <t>Ofi Poblado Campestre</t>
  </si>
  <si>
    <t>DEV-0093</t>
  </si>
  <si>
    <t>1000166</t>
  </si>
  <si>
    <t>Iglesia VillaGorgona</t>
  </si>
  <si>
    <t>DEV-0094</t>
  </si>
  <si>
    <t>1000159</t>
  </si>
  <si>
    <t>DEV-0095</t>
  </si>
  <si>
    <t>1000074</t>
  </si>
  <si>
    <t>Saman VG</t>
  </si>
  <si>
    <t>1000064</t>
  </si>
  <si>
    <t>Ofi Cabuyal</t>
  </si>
  <si>
    <t>DEV-0097</t>
  </si>
  <si>
    <t>1000174</t>
  </si>
  <si>
    <t>1000119</t>
  </si>
  <si>
    <t>DEV-0099</t>
  </si>
  <si>
    <t>1000031</t>
  </si>
  <si>
    <t>DEV-0102</t>
  </si>
  <si>
    <t>DEV-0103</t>
  </si>
  <si>
    <t>1000032</t>
  </si>
  <si>
    <t>Crucero Guanabanal</t>
  </si>
  <si>
    <t>DSS Dispositivos</t>
  </si>
  <si>
    <t>Inventario de 111 activos conciliado entre DeviceInfo.xlsx y capturas del DSS. No contiene usuarios ni contraseñas.</t>
  </si>
  <si>
    <t>Categoría</t>
  </si>
  <si>
    <t>IP / registro</t>
  </si>
  <si>
    <t>Zona derivada</t>
  </si>
  <si>
    <t>Servidor DSS</t>
  </si>
  <si>
    <t>Método conciliación</t>
  </si>
  <si>
    <t>Confianza</t>
  </si>
  <si>
    <t>Fila exportación</t>
  </si>
  <si>
    <t>EDIFICIO PPAL</t>
  </si>
  <si>
    <t>DSS7116S V8.5.0</t>
  </si>
  <si>
    <t>CAPTURA_DEVICE_INFO</t>
  </si>
  <si>
    <t>ADDRESS_EXACT</t>
  </si>
  <si>
    <t>RED 36</t>
  </si>
  <si>
    <t>VISUAL_OVERRIDE</t>
  </si>
  <si>
    <t>1000033</t>
  </si>
  <si>
    <t>192.168.21.144</t>
  </si>
  <si>
    <t>1000036</t>
  </si>
  <si>
    <t>Oficina Bolo Alaska</t>
  </si>
  <si>
    <t>192.168.46.100</t>
  </si>
  <si>
    <t>1000039</t>
  </si>
  <si>
    <t>1000046</t>
  </si>
  <si>
    <t>DVR Ofi Pradera</t>
  </si>
  <si>
    <t>DH-XVR5216AN-4KL-X</t>
  </si>
  <si>
    <t>192.168.25.17</t>
  </si>
  <si>
    <t>1000055</t>
  </si>
  <si>
    <t>NVR Ofi Pradera</t>
  </si>
  <si>
    <t>192.168.25.16</t>
  </si>
  <si>
    <t>1000090</t>
  </si>
  <si>
    <t>192.168.21.202</t>
  </si>
  <si>
    <t>1000116</t>
  </si>
  <si>
    <t>10.100.1.30</t>
  </si>
  <si>
    <t>Current Site/GANE PALMIRA/PALMIRA/VPN</t>
  </si>
  <si>
    <t>red vpn.png</t>
  </si>
  <si>
    <t>1000118</t>
  </si>
  <si>
    <t>Detección Rostros</t>
  </si>
  <si>
    <t>DH-IPC-HDBW5241E-ZE</t>
  </si>
  <si>
    <t>10.220.1.94</t>
  </si>
  <si>
    <t>1000123</t>
  </si>
  <si>
    <t>DH-T4A-PV</t>
  </si>
  <si>
    <t>192.168.15.84</t>
  </si>
  <si>
    <t>1000129</t>
  </si>
  <si>
    <t>Parqueadero_Cuarto-Elect</t>
  </si>
  <si>
    <t>10.220.1.99</t>
  </si>
  <si>
    <t>1000138</t>
  </si>
  <si>
    <t>ANPR out Parq Bolivar</t>
  </si>
  <si>
    <t>CAMARA_ANPR</t>
  </si>
  <si>
    <t>Access ANPR Camera</t>
  </si>
  <si>
    <t>ITC415-PW6M-IZ-C2</t>
  </si>
  <si>
    <t>4454</t>
  </si>
  <si>
    <t>1000139</t>
  </si>
  <si>
    <t>1000140</t>
  </si>
  <si>
    <t>ANPR In-Out Calle 32</t>
  </si>
  <si>
    <t>4460</t>
  </si>
  <si>
    <t>1000141</t>
  </si>
  <si>
    <t>OUT Parqueadero Ganador</t>
  </si>
  <si>
    <t>ITC413-PWA4D-1Z1</t>
  </si>
  <si>
    <t>10.220.1.45</t>
  </si>
  <si>
    <t>1000142</t>
  </si>
  <si>
    <t>IN Parqueadero Gane</t>
  </si>
  <si>
    <t>ITC413-PWA4D-IZ1</t>
  </si>
  <si>
    <t>10.220.1.98</t>
  </si>
  <si>
    <t>1000143</t>
  </si>
  <si>
    <t>ANPR In Motos Parque Bolivar</t>
  </si>
  <si>
    <t>4461</t>
  </si>
  <si>
    <t>1000144</t>
  </si>
  <si>
    <t>Cam SMD 19 con 37 II</t>
  </si>
  <si>
    <t>4457</t>
  </si>
  <si>
    <t>1000150</t>
  </si>
  <si>
    <t>Alarm Controller</t>
  </si>
  <si>
    <t>DHI-ARC3000H-FW2</t>
  </si>
  <si>
    <t>10.2.10.28</t>
  </si>
  <si>
    <t>1000152</t>
  </si>
  <si>
    <t>Cam SMD Ant Ppal Florida</t>
  </si>
  <si>
    <t>4458</t>
  </si>
  <si>
    <t>1000155</t>
  </si>
  <si>
    <t>ANPR in calle 31</t>
  </si>
  <si>
    <t>4459</t>
  </si>
  <si>
    <t>1000156</t>
  </si>
  <si>
    <t>Oficina Ppal Florida</t>
  </si>
  <si>
    <t>DHI-NVR5432-4KS2</t>
  </si>
  <si>
    <t>10.220.45.2</t>
  </si>
  <si>
    <t>192.168.36.9</t>
  </si>
  <si>
    <t>1000162</t>
  </si>
  <si>
    <t>Alarma Torre Juanchito</t>
  </si>
  <si>
    <t>192.168.42.55</t>
  </si>
  <si>
    <t>1000163</t>
  </si>
  <si>
    <t>Parque Bolivar Cajas-Pto_Venta</t>
  </si>
  <si>
    <t>192.168.36.27</t>
  </si>
  <si>
    <t>1000170</t>
  </si>
  <si>
    <t>192.168.21.186</t>
  </si>
  <si>
    <t>1000179</t>
  </si>
  <si>
    <t>10.100.1.101</t>
  </si>
  <si>
    <t>Alarmas</t>
  </si>
  <si>
    <t>Paneles y periféricos de alarma asociados a puntos CCTV.</t>
  </si>
  <si>
    <t>ID Alarma</t>
  </si>
  <si>
    <t>Punto</t>
  </si>
  <si>
    <t>Máscara</t>
  </si>
  <si>
    <t>Gateway</t>
  </si>
  <si>
    <t>Cuenta</t>
  </si>
  <si>
    <t>Tipo panel</t>
  </si>
  <si>
    <t>Serial</t>
  </si>
  <si>
    <t>ID Panel</t>
  </si>
  <si>
    <t>Estado comunicación</t>
  </si>
  <si>
    <t>ALM-001</t>
  </si>
  <si>
    <t>ALM-002</t>
  </si>
  <si>
    <t>ALM-003</t>
  </si>
  <si>
    <t>ALM-004</t>
  </si>
  <si>
    <t>ALM-005</t>
  </si>
  <si>
    <t>ALM-006</t>
  </si>
  <si>
    <t>ALM-007</t>
  </si>
  <si>
    <t>ALM-008</t>
  </si>
  <si>
    <t>ALM-009</t>
  </si>
  <si>
    <t>ALM-010</t>
  </si>
  <si>
    <t>29143022</t>
  </si>
  <si>
    <t>ALM-011</t>
  </si>
  <si>
    <t>29143021</t>
  </si>
  <si>
    <t>ALM-012</t>
  </si>
  <si>
    <t>ALM-013</t>
  </si>
  <si>
    <t>ALM-014</t>
  </si>
  <si>
    <t>ALM-015</t>
  </si>
  <si>
    <t>ALM-016</t>
  </si>
  <si>
    <t>ALM-017</t>
  </si>
  <si>
    <t>Vehiculos MVR</t>
  </si>
  <si>
    <t>Inventario móvil preparado para diferenciar MVR, cámaras y conectividad celular.</t>
  </si>
  <si>
    <t>ID Vehículo</t>
  </si>
  <si>
    <t>Placa</t>
  </si>
  <si>
    <t>Marca</t>
  </si>
  <si>
    <t>Línea</t>
  </si>
  <si>
    <t>Modelo año</t>
  </si>
  <si>
    <t>Cilindraje</t>
  </si>
  <si>
    <t>Descripción CCTV/MVR</t>
  </si>
  <si>
    <t>ID GPRS</t>
  </si>
  <si>
    <t>Referencia SIM</t>
  </si>
  <si>
    <t>Operador</t>
  </si>
  <si>
    <t>Notas</t>
  </si>
  <si>
    <t>VEH-001</t>
  </si>
  <si>
    <t>2011</t>
  </si>
  <si>
    <t>VEH-002</t>
  </si>
  <si>
    <t>2014</t>
  </si>
  <si>
    <t>VEH-003</t>
  </si>
  <si>
    <t>VEH-004</t>
  </si>
  <si>
    <t>2019</t>
  </si>
  <si>
    <t>15885</t>
  </si>
  <si>
    <t>VEH-005</t>
  </si>
  <si>
    <t>2022</t>
  </si>
  <si>
    <t>15883</t>
  </si>
  <si>
    <t>VEH-006</t>
  </si>
  <si>
    <t>15887</t>
  </si>
  <si>
    <t>VEH-007</t>
  </si>
  <si>
    <t>15886</t>
  </si>
  <si>
    <t>Proyecto Estructurado</t>
  </si>
  <si>
    <t>El estado se derivó del color original: verde = IMPLEMENTADO. Desde esta versión el campo Estado es la fuente oficial; el color queda solo como trazabilidad.</t>
  </si>
  <si>
    <t>ID Proyecto</t>
  </si>
  <si>
    <t>Línea de trabajo</t>
  </si>
  <si>
    <t>Punto objetivo</t>
  </si>
  <si>
    <t>Alcance/traslado</t>
  </si>
  <si>
    <t>Tecnología objetivo</t>
  </si>
  <si>
    <t>Modelo planeado</t>
  </si>
  <si>
    <t>Inversión</t>
  </si>
  <si>
    <t>Estado</t>
  </si>
  <si>
    <t>Avance %</t>
  </si>
  <si>
    <t>Fecha planeada</t>
  </si>
  <si>
    <t>Fecha implementación</t>
  </si>
  <si>
    <t>Color fuente</t>
  </si>
  <si>
    <t>Celda fuente</t>
  </si>
  <si>
    <t>Responsable</t>
  </si>
  <si>
    <t>Observaciones</t>
  </si>
  <si>
    <t>PRY-001</t>
  </si>
  <si>
    <t>ACTUALIZACION_ALTO_VALOR</t>
  </si>
  <si>
    <t>VERDE_ORIGINAL</t>
  </si>
  <si>
    <t>Proyecto Actualizacion!B4</t>
  </si>
  <si>
    <t>PRY-002</t>
  </si>
  <si>
    <t>CAMARA_IP_ANALITICA</t>
  </si>
  <si>
    <t>Proyecto Actualizacion!F4</t>
  </si>
  <si>
    <t>PRY-003</t>
  </si>
  <si>
    <t>Proyecto Actualizacion!B5</t>
  </si>
  <si>
    <t>PRY-004</t>
  </si>
  <si>
    <t>SIN_COLOR</t>
  </si>
  <si>
    <t>Proyecto Actualizacion!F5</t>
  </si>
  <si>
    <t>PRY-005</t>
  </si>
  <si>
    <t>Proyecto Actualizacion!B6</t>
  </si>
  <si>
    <t>PRY-006</t>
  </si>
  <si>
    <t>Proyecto Actualizacion!F6</t>
  </si>
  <si>
    <t>PRY-007</t>
  </si>
  <si>
    <t>Proyecto Actualizacion!B7</t>
  </si>
  <si>
    <t>PRY-008</t>
  </si>
  <si>
    <t>Proyecto Actualizacion!F7</t>
  </si>
  <si>
    <t>PRY-009</t>
  </si>
  <si>
    <t>Proyecto Actualizacion!B8</t>
  </si>
  <si>
    <t>PRY-010</t>
  </si>
  <si>
    <t>Proyecto Actualizacion!F8</t>
  </si>
  <si>
    <t>PRY-011</t>
  </si>
  <si>
    <t>Proyecto Actualizacion!B9</t>
  </si>
  <si>
    <t>PRY-012</t>
  </si>
  <si>
    <t>Proyecto Actualizacion!F9</t>
  </si>
  <si>
    <t>PRY-013</t>
  </si>
  <si>
    <t>AZUL_ORIGINAL</t>
  </si>
  <si>
    <t>Proyecto Actualizacion!B10</t>
  </si>
  <si>
    <t>PRY-014</t>
  </si>
  <si>
    <t>Proyecto Actualizacion!F10</t>
  </si>
  <si>
    <t>PRY-015</t>
  </si>
  <si>
    <t>Proyecto Actualizacion!B11</t>
  </si>
  <si>
    <t>PRY-016</t>
  </si>
  <si>
    <t>Proyecto Actualizacion!F11</t>
  </si>
  <si>
    <t>PRY-017</t>
  </si>
  <si>
    <t>Proyecto Actualizacion!B12</t>
  </si>
  <si>
    <t>PRY-018</t>
  </si>
  <si>
    <t>Proyecto Actualizacion!F12</t>
  </si>
  <si>
    <t>PRY-019</t>
  </si>
  <si>
    <t>Proyecto Actualizacion!B13</t>
  </si>
  <si>
    <t>PRY-020</t>
  </si>
  <si>
    <t>Proyecto Actualizacion!F13</t>
  </si>
  <si>
    <t>PRY-021</t>
  </si>
  <si>
    <t>Proyecto Actualizacion!B14</t>
  </si>
  <si>
    <t>PRY-022</t>
  </si>
  <si>
    <t>Proyecto Actualizacion!F14</t>
  </si>
  <si>
    <t>PRY-023</t>
  </si>
  <si>
    <t>Proyecto Actualizacion!B15</t>
  </si>
  <si>
    <t>PRY-024</t>
  </si>
  <si>
    <t>Proyecto Actualizacion!F15</t>
  </si>
  <si>
    <t>PRY-025</t>
  </si>
  <si>
    <t>Proyecto Actualizacion!B16</t>
  </si>
  <si>
    <t>PRY-026</t>
  </si>
  <si>
    <t>Proyecto Actualizacion!F16</t>
  </si>
  <si>
    <t>PRY-027</t>
  </si>
  <si>
    <t>Proyecto Actualizacion!B17</t>
  </si>
  <si>
    <t>PRY-028</t>
  </si>
  <si>
    <t>Proyecto Actualizacion!F17</t>
  </si>
  <si>
    <t>PRY-029</t>
  </si>
  <si>
    <t>Proyecto Actualizacion!B18</t>
  </si>
  <si>
    <t>PRY-030</t>
  </si>
  <si>
    <t>Proyecto Actualizacion!B19</t>
  </si>
  <si>
    <t>PRY-031</t>
  </si>
  <si>
    <t>Proyecto Actualizacion!B20</t>
  </si>
  <si>
    <t>PRY-032</t>
  </si>
  <si>
    <t>Proyecto Actualizacion!F20</t>
  </si>
  <si>
    <t>PRY-033</t>
  </si>
  <si>
    <t>Proyecto Actualizacion!B21</t>
  </si>
  <si>
    <t>PRY-034</t>
  </si>
  <si>
    <t>Proyecto Actualizacion!B22</t>
  </si>
  <si>
    <t>PRY-035</t>
  </si>
  <si>
    <t>Proyecto Actualizacion!F22</t>
  </si>
  <si>
    <t>PRY-036</t>
  </si>
  <si>
    <t>Proyecto Actualizacion!B24</t>
  </si>
  <si>
    <t>PRY-037</t>
  </si>
  <si>
    <t>Proyecto Actualizacion!F24</t>
  </si>
  <si>
    <t>PRY-038</t>
  </si>
  <si>
    <t>Proyecto Actualizacion!B26</t>
  </si>
  <si>
    <t>PRY-039</t>
  </si>
  <si>
    <t>Proyecto Actualizacion!F26</t>
  </si>
  <si>
    <t>PRY-040</t>
  </si>
  <si>
    <t>Proyecto Actualizacion!B27</t>
  </si>
  <si>
    <t>PRY-041</t>
  </si>
  <si>
    <t>Proyecto Actualizacion!F27</t>
  </si>
  <si>
    <t>PRY-042</t>
  </si>
  <si>
    <t>La victoria</t>
  </si>
  <si>
    <t>Proyecto Actualizacion!B29</t>
  </si>
  <si>
    <t>PRY-043</t>
  </si>
  <si>
    <t>Proyecto Actualizacion!F29</t>
  </si>
  <si>
    <t>PRY-044</t>
  </si>
  <si>
    <t>Proyecto Actualizacion!F30</t>
  </si>
  <si>
    <t>PRY-045</t>
  </si>
  <si>
    <t>Proyecto Actualizacion!B31</t>
  </si>
  <si>
    <t>PRY-046</t>
  </si>
  <si>
    <t>Proyecto Actualizacion!B32</t>
  </si>
  <si>
    <t>PRY-047</t>
  </si>
  <si>
    <t>Proyecto Actualizacion!F32</t>
  </si>
  <si>
    <t>PRY-048</t>
  </si>
  <si>
    <t>Proyecto Actualizacion!B33</t>
  </si>
  <si>
    <t>PRY-049</t>
  </si>
  <si>
    <t>Proyecto Actualizacion!F34</t>
  </si>
  <si>
    <t>PRY-050</t>
  </si>
  <si>
    <t>Proyecto Actualizacion!B35</t>
  </si>
  <si>
    <t>PRY-051</t>
  </si>
  <si>
    <t>Proyecto Actualizacion!B36</t>
  </si>
  <si>
    <t>PRY-052</t>
  </si>
  <si>
    <t>Proyecto Actualizacion!B37</t>
  </si>
  <si>
    <t>PRY-053</t>
  </si>
  <si>
    <t>Proyecto Actualizacion!B38</t>
  </si>
  <si>
    <t>PRY-054</t>
  </si>
  <si>
    <t>Proyecto Actualizacion!F38</t>
  </si>
  <si>
    <t>PRY-055</t>
  </si>
  <si>
    <t>Proyecto Actualizacion!B39</t>
  </si>
  <si>
    <t>PRY-056</t>
  </si>
  <si>
    <t>Proyecto Actualizacion!F39</t>
  </si>
  <si>
    <t>PRY-057</t>
  </si>
  <si>
    <t>Proyecto Actualizacion!F40</t>
  </si>
  <si>
    <t>PRY-058</t>
  </si>
  <si>
    <t>Proyecto Actualizacion!B41</t>
  </si>
  <si>
    <t>PRY-059</t>
  </si>
  <si>
    <t>Proyecto Actualizacion!F41</t>
  </si>
  <si>
    <t>PRY-060</t>
  </si>
  <si>
    <t>Proyecto Actualizacion!B42</t>
  </si>
  <si>
    <t>PRY-061</t>
  </si>
  <si>
    <t>Proyecto Actualizacion!B43</t>
  </si>
  <si>
    <t>PRY-062</t>
  </si>
  <si>
    <t>Proyecto Actualizacion!B44</t>
  </si>
  <si>
    <t>PRY-063</t>
  </si>
  <si>
    <t>NARANJA_ORIGINAL</t>
  </si>
  <si>
    <t>Proyecto Actualizacion!F44</t>
  </si>
  <si>
    <t>PRY-064</t>
  </si>
  <si>
    <t>KIT_REUTILIZADO</t>
  </si>
  <si>
    <t>Equipo trasladado desde La Cigarra</t>
  </si>
  <si>
    <t>Proyecto Actualizacion!C4</t>
  </si>
  <si>
    <t>PRY-065</t>
  </si>
  <si>
    <t>Equipo trasladado desde Parque Prado</t>
  </si>
  <si>
    <t>Proyecto Actualizacion!C5</t>
  </si>
  <si>
    <t>PRY-066</t>
  </si>
  <si>
    <t>Equipo trasladado desde Drogueria Prado II</t>
  </si>
  <si>
    <t>Proyecto Actualizacion!C6</t>
  </si>
  <si>
    <t>PRY-067</t>
  </si>
  <si>
    <t>Equipo trasladado desde Colombia Taxis</t>
  </si>
  <si>
    <t>Proyecto Actualizacion!C8</t>
  </si>
  <si>
    <t>PRY-068</t>
  </si>
  <si>
    <t>Equipo trasladado desde Mercedes II</t>
  </si>
  <si>
    <t>Proyecto Actualizacion!C9</t>
  </si>
  <si>
    <t>PRY-069</t>
  </si>
  <si>
    <t>Equipo trasladado desde Cementerio</t>
  </si>
  <si>
    <t>Proyecto Actualizacion!C10</t>
  </si>
  <si>
    <t>PRY-070</t>
  </si>
  <si>
    <t>Equipo trasladado desde La 19 con 35</t>
  </si>
  <si>
    <t>Proyecto Actualizacion!C11</t>
  </si>
  <si>
    <t>PRY-071</t>
  </si>
  <si>
    <t>Equipo trasladado desde La 19 con 33</t>
  </si>
  <si>
    <t>Proyecto Actualizacion!C12</t>
  </si>
  <si>
    <t>PRY-072</t>
  </si>
  <si>
    <t>Equipo trasladado desde Oasis de la Italia</t>
  </si>
  <si>
    <t>Proyecto Actualizacion!C13</t>
  </si>
  <si>
    <t>PRY-073</t>
  </si>
  <si>
    <t>Equipo trasladado desde Guayacanes del ingenio</t>
  </si>
  <si>
    <t>Proyecto Actualizacion!C14</t>
  </si>
  <si>
    <t>PRY-074</t>
  </si>
  <si>
    <t>Equipo trasladado desde Empresarios</t>
  </si>
  <si>
    <t>Proyecto Actualizacion!C17</t>
  </si>
  <si>
    <t>PRY-075</t>
  </si>
  <si>
    <t>Equipo trasladado desde ZamoranoIII</t>
  </si>
  <si>
    <t>Proyecto Actualizacion!C19</t>
  </si>
  <si>
    <t>PRY-076</t>
  </si>
  <si>
    <t>Equipo trasladado desde Popular Modelo</t>
  </si>
  <si>
    <t>Proyecto Actualizacion!C20</t>
  </si>
  <si>
    <t>PRY-077</t>
  </si>
  <si>
    <t>Equipo trasladado desde OLIMPICO 3</t>
  </si>
  <si>
    <t>Proyecto Actualizacion!C22</t>
  </si>
  <si>
    <t>PRY-078</t>
  </si>
  <si>
    <t>Equipo trasladado desde Amaime 1</t>
  </si>
  <si>
    <t>Proyecto Actualizacion!C27</t>
  </si>
  <si>
    <t>PRY-079</t>
  </si>
  <si>
    <t>Equipo trasladado desde Oficina Florida</t>
  </si>
  <si>
    <t>Proyecto Actualizacion!C29</t>
  </si>
  <si>
    <t>PRY-080</t>
  </si>
  <si>
    <t>Equipo trasladado desde Maxitodo</t>
  </si>
  <si>
    <t>Proyecto Actualizacion!C33</t>
  </si>
  <si>
    <t>PRY-081</t>
  </si>
  <si>
    <t>Equipo trasladado desde Ciudad Campo</t>
  </si>
  <si>
    <t>TEMA_0</t>
  </si>
  <si>
    <t>Proyecto Actualizacion!C36</t>
  </si>
  <si>
    <t>PRY-082</t>
  </si>
  <si>
    <t>Equipo trasladado desde Oficina Villagorgona</t>
  </si>
  <si>
    <t>Proyecto Actualizacion!C37</t>
  </si>
  <si>
    <t>PRY-083</t>
  </si>
  <si>
    <t>Equipo trasladado desde Cabuyal</t>
  </si>
  <si>
    <t>Proyecto Actualizacion!C38</t>
  </si>
  <si>
    <t>PRY-084</t>
  </si>
  <si>
    <t>Equipo trasladado desde Carmelo</t>
  </si>
  <si>
    <t>Proyecto Actualizacion!C39</t>
  </si>
  <si>
    <t>PRY-085</t>
  </si>
  <si>
    <t>Equipo trasladado desde Tienda Nueva (DH-IPC-HDBW5442E-Z3)</t>
  </si>
  <si>
    <t>Proyecto Actualizacion!C41</t>
  </si>
  <si>
    <t>PRY-086</t>
  </si>
  <si>
    <t>Equipo trasladado desde Aeropuerto</t>
  </si>
  <si>
    <t>Proyecto Actualizacion!C42</t>
  </si>
  <si>
    <t>PRY-087</t>
  </si>
  <si>
    <t>Equipo trasladado desde Crucero guanabanal</t>
  </si>
  <si>
    <t>Proyecto Actualizacion!C44</t>
  </si>
  <si>
    <t>PRY-088</t>
  </si>
  <si>
    <t>COMBO_NUEVO_ANALITICA</t>
  </si>
  <si>
    <t>PRY-089</t>
  </si>
  <si>
    <t>PRY-090</t>
  </si>
  <si>
    <t>COMBO_REUTILIZADO</t>
  </si>
  <si>
    <t>Proyecto Actualizacion!J39</t>
  </si>
  <si>
    <t>PRY-091</t>
  </si>
  <si>
    <t>PRY-092</t>
  </si>
  <si>
    <t>Proyecto Actualizacion!J40</t>
  </si>
  <si>
    <t>PRY-093</t>
  </si>
  <si>
    <t>PRY-094</t>
  </si>
  <si>
    <t>Proyecto Actualizacion!J41</t>
  </si>
  <si>
    <t>PRY-095</t>
  </si>
  <si>
    <t>PRY-096</t>
  </si>
  <si>
    <t>Proyecto Actualizacion!J44</t>
  </si>
  <si>
    <t>PRY-097</t>
  </si>
  <si>
    <t>Proyecto Actualizacion!F45</t>
  </si>
  <si>
    <t>PRY-098</t>
  </si>
  <si>
    <t>Proyecto Actualizacion!J45</t>
  </si>
  <si>
    <t>PRY-099</t>
  </si>
  <si>
    <t>Proyecto Actualizacion!F50</t>
  </si>
  <si>
    <t>PRY-100</t>
  </si>
  <si>
    <t>Proyecto Actualizacion!J50</t>
  </si>
  <si>
    <t>PRY-101</t>
  </si>
  <si>
    <t>Proyecto Actualizacion!F51</t>
  </si>
  <si>
    <t>PRY-102</t>
  </si>
  <si>
    <t>Proyecto Actualizacion!J51</t>
  </si>
  <si>
    <t>PRY-103</t>
  </si>
  <si>
    <t>Proyecto Actualizacion!F52</t>
  </si>
  <si>
    <t>PRY-104</t>
  </si>
  <si>
    <t>Proyecto Actualizacion!J52</t>
  </si>
  <si>
    <t>PRY-105</t>
  </si>
  <si>
    <t>Proyecto Actualizacion!F53</t>
  </si>
  <si>
    <t>PRY-106</t>
  </si>
  <si>
    <t>Proyecto Actualizacion!J53</t>
  </si>
  <si>
    <t>PRY-107</t>
  </si>
  <si>
    <t>Proyecto Actualizacion!F56</t>
  </si>
  <si>
    <t>PRY-108</t>
  </si>
  <si>
    <t>Proyecto Actualizacion!J56</t>
  </si>
  <si>
    <t>PRY-109</t>
  </si>
  <si>
    <t>Proyecto Actualizacion!F57</t>
  </si>
  <si>
    <t>PRY-110</t>
  </si>
  <si>
    <t>Proyecto Actualizacion!J57</t>
  </si>
  <si>
    <t>PRY-111</t>
  </si>
  <si>
    <t>Proyecto Actualizacion!F58</t>
  </si>
  <si>
    <t>PRY-112</t>
  </si>
  <si>
    <t>Proyecto Actualizacion!J58</t>
  </si>
  <si>
    <t>PRY-113</t>
  </si>
  <si>
    <t>Proyecto Actualizacion!F59</t>
  </si>
  <si>
    <t>PRY-114</t>
  </si>
  <si>
    <t>Proyecto Actualizacion!J59</t>
  </si>
  <si>
    <t>Calidad Datos</t>
  </si>
  <si>
    <t>Cola accionable para depurar el maestro antes de promoverlo a la base canónica de Skylab.</t>
  </si>
  <si>
    <t>ID Hallazgo</t>
  </si>
  <si>
    <t>Entidad</t>
  </si>
  <si>
    <t>ID registro</t>
  </si>
  <si>
    <t>Hallazgo</t>
  </si>
  <si>
    <t>Prioridad</t>
  </si>
  <si>
    <t>Acción recomendada</t>
  </si>
  <si>
    <t>Q-0001</t>
  </si>
  <si>
    <t>DISPOSITIVO</t>
  </si>
  <si>
    <t>MEDIA</t>
  </si>
  <si>
    <t>Completar o validar contra DSS/inventario físico</t>
  </si>
  <si>
    <t>Q-0002</t>
  </si>
  <si>
    <t>Q-0003</t>
  </si>
  <si>
    <t>ALTA</t>
  </si>
  <si>
    <t>Q-0004</t>
  </si>
  <si>
    <t>Q-0005</t>
  </si>
  <si>
    <t>Q-0006</t>
  </si>
  <si>
    <t>Q-0007</t>
  </si>
  <si>
    <t>Q-0008</t>
  </si>
  <si>
    <t>Q-0009</t>
  </si>
  <si>
    <t>Q-0010</t>
  </si>
  <si>
    <t>Q-0011</t>
  </si>
  <si>
    <t>Q-0012</t>
  </si>
  <si>
    <t>Q-0013</t>
  </si>
  <si>
    <t>Q-0014</t>
  </si>
  <si>
    <t>Q-0015</t>
  </si>
  <si>
    <t>Q-0016</t>
  </si>
  <si>
    <t>Q-0017</t>
  </si>
  <si>
    <t>Q-0018</t>
  </si>
  <si>
    <t>Q-0019</t>
  </si>
  <si>
    <t>Q-0020</t>
  </si>
  <si>
    <t>Q-0021</t>
  </si>
  <si>
    <t>Q-0022</t>
  </si>
  <si>
    <t>Q-0023</t>
  </si>
  <si>
    <t>Q-0024</t>
  </si>
  <si>
    <t>Q-0025</t>
  </si>
  <si>
    <t>Q-0026</t>
  </si>
  <si>
    <t>Q-0027</t>
  </si>
  <si>
    <t>Q-0028</t>
  </si>
  <si>
    <t>Q-0029</t>
  </si>
  <si>
    <t>Q-0030</t>
  </si>
  <si>
    <t>Q-0031</t>
  </si>
  <si>
    <t>Q-0032</t>
  </si>
  <si>
    <t>Q-0033</t>
  </si>
  <si>
    <t>Q-0034</t>
  </si>
  <si>
    <t>Q-0035</t>
  </si>
  <si>
    <t>Q-0036</t>
  </si>
  <si>
    <t>Q-0037</t>
  </si>
  <si>
    <t>Q-0038</t>
  </si>
  <si>
    <t>Q-0039</t>
  </si>
  <si>
    <t>Q-0040</t>
  </si>
  <si>
    <t>Q-0041</t>
  </si>
  <si>
    <t>Q-0042</t>
  </si>
  <si>
    <t>Q-0043</t>
  </si>
  <si>
    <t>Q-0044</t>
  </si>
  <si>
    <t>Q-0045</t>
  </si>
  <si>
    <t>Q-0046</t>
  </si>
  <si>
    <t>SIN_VINCULO_DSS_UNIVOCO</t>
  </si>
  <si>
    <t>Conciliar por nombre, ubicación y serial; no asignar solo por una IP compartida</t>
  </si>
  <si>
    <t>Q-0047</t>
  </si>
  <si>
    <t>Q-0048</t>
  </si>
  <si>
    <t>Q-0049</t>
  </si>
  <si>
    <t>Q-0050</t>
  </si>
  <si>
    <t>Q-0051</t>
  </si>
  <si>
    <t>Q-0052</t>
  </si>
  <si>
    <t>Q-0053</t>
  </si>
  <si>
    <t>Q-0054</t>
  </si>
  <si>
    <t>Q-0055</t>
  </si>
  <si>
    <t>Q-0056</t>
  </si>
  <si>
    <t>Q-0057</t>
  </si>
  <si>
    <t>Q-0058</t>
  </si>
  <si>
    <t>Q-0059</t>
  </si>
  <si>
    <t>Q-0060</t>
  </si>
  <si>
    <t>Q-0061</t>
  </si>
  <si>
    <t>Q-0062</t>
  </si>
  <si>
    <t>Q-0063</t>
  </si>
  <si>
    <t>UBICACION</t>
  </si>
  <si>
    <t>Validar alias y asignar Código SIIS al dispositivo</t>
  </si>
  <si>
    <t>Q-0064</t>
  </si>
  <si>
    <t>Q-0065</t>
  </si>
  <si>
    <t>Q-0066</t>
  </si>
  <si>
    <t>Q-0067</t>
  </si>
  <si>
    <t>Q-0068</t>
  </si>
  <si>
    <t>Q-0069</t>
  </si>
  <si>
    <t>Q-0070</t>
  </si>
  <si>
    <t>Q-0071</t>
  </si>
  <si>
    <t>Q-0072</t>
  </si>
  <si>
    <t>Q-0073</t>
  </si>
  <si>
    <t>Q-0074</t>
  </si>
  <si>
    <t>Q-0075</t>
  </si>
  <si>
    <t>Q-0076</t>
  </si>
  <si>
    <t>Q-0077</t>
  </si>
  <si>
    <t>Q-0078</t>
  </si>
  <si>
    <t>Q-0079</t>
  </si>
  <si>
    <t>Q-0080</t>
  </si>
  <si>
    <t>Q-0081</t>
  </si>
  <si>
    <t>Q-0082</t>
  </si>
  <si>
    <t>Q-0083</t>
  </si>
  <si>
    <t>Q-0084</t>
  </si>
  <si>
    <t>Q-0085</t>
  </si>
  <si>
    <t>Q-0086</t>
  </si>
  <si>
    <t>Q-0087</t>
  </si>
  <si>
    <t>Q-0088</t>
  </si>
  <si>
    <t>Q-0089</t>
  </si>
  <si>
    <t>Q-0090</t>
  </si>
  <si>
    <t>Q-0091</t>
  </si>
  <si>
    <t>Q-0092</t>
  </si>
  <si>
    <t>Q-0093</t>
  </si>
  <si>
    <t>Q-0094</t>
  </si>
  <si>
    <t>Q-0095</t>
  </si>
  <si>
    <t>Q-0096</t>
  </si>
  <si>
    <t>Q-0097</t>
  </si>
  <si>
    <t>Q-0098</t>
  </si>
  <si>
    <t>Q-0099</t>
  </si>
  <si>
    <t>Q-0100</t>
  </si>
  <si>
    <t>Q-0101</t>
  </si>
  <si>
    <t>Q-0102</t>
  </si>
  <si>
    <t>Q-0103</t>
  </si>
  <si>
    <t>Q-0104</t>
  </si>
  <si>
    <t>Q-0105</t>
  </si>
  <si>
    <t>Q-0106</t>
  </si>
  <si>
    <t>Q-0107</t>
  </si>
  <si>
    <t>Q-0108</t>
  </si>
  <si>
    <t>Q-0109</t>
  </si>
  <si>
    <t>Q-0110</t>
  </si>
  <si>
    <t>Q-0111</t>
  </si>
  <si>
    <t>Q-0112</t>
  </si>
  <si>
    <t>Q-0113</t>
  </si>
  <si>
    <t>Q-0114</t>
  </si>
  <si>
    <t>Q-0115</t>
  </si>
  <si>
    <t>Q-0116</t>
  </si>
  <si>
    <t>Q-0117</t>
  </si>
  <si>
    <t>Q-0118</t>
  </si>
  <si>
    <t>Q-0119</t>
  </si>
  <si>
    <t>Q-0120</t>
  </si>
  <si>
    <t>Q-0121</t>
  </si>
  <si>
    <t>Q-0122</t>
  </si>
  <si>
    <t>Q-0123</t>
  </si>
  <si>
    <t>Q-0124</t>
  </si>
  <si>
    <t>Q-0125</t>
  </si>
  <si>
    <t>Q-0126</t>
  </si>
  <si>
    <t>CCTV · Maestro de infraestructura</t>
  </si>
  <si>
    <t>Versión normalizada para transición a Skylab. Las hojas originales se conservan como evidencia histórica.</t>
  </si>
  <si>
    <t>INDICADORES</t>
  </si>
  <si>
    <t>Puntos mantenimiento</t>
  </si>
  <si>
    <t>Dispositivos DSS</t>
  </si>
  <si>
    <t>Canales declarados</t>
  </si>
  <si>
    <t>Modelos DSS</t>
  </si>
  <si>
    <t>Proyectos</t>
  </si>
  <si>
    <t>Implementados</t>
  </si>
  <si>
    <t>Avance proyecto</t>
  </si>
  <si>
    <t>Hallazgos calidad</t>
  </si>
  <si>
    <t>Cantidad</t>
  </si>
  <si>
    <t>Implementado</t>
  </si>
  <si>
    <t>Planificado</t>
  </si>
  <si>
    <t>En ejecución</t>
  </si>
  <si>
    <t>Pausado</t>
  </si>
  <si>
    <t>Cancelado</t>
  </si>
  <si>
    <t>PRÓXIMOS PASOS</t>
  </si>
  <si>
    <t>1</t>
  </si>
  <si>
    <t>Validar los vínculos pendientes entre el maestro heredado y los 111 activos del DSS.</t>
  </si>
  <si>
    <t>2</t>
  </si>
  <si>
    <t>Completar seriales, firmware y estado en línea mediante integración controlada con DSS.</t>
  </si>
  <si>
    <t>3</t>
  </si>
  <si>
    <t>Asignar Código SIIS y consumir estas tablas desde el submódulo CCTV de Skylab.</t>
  </si>
  <si>
    <t>4</t>
  </si>
  <si>
    <t>Mantener credenciales fuera del inventario y usar únicamente variables de entorno.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</si>
</sst>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4">
    <font>
      <sz val="11"/>
      <color theme="1"/>
      <name val="Aptos Narrow"/>
    </font>
    <font>
      <b/>
      <sz val="11"/>
      <color rgb="FFFA7D00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b/>
      <sz val="12"/>
      <color theme="9" tint="0.39997558519241921"/>
      <name val="Aptos Narrow"/>
    </font>
    <font>
      <b/>
      <sz val="11"/>
      <color theme="9" tint="-0.49995422223578601"/>
      <name val="Aptos Narrow"/>
    </font>
    <font>
      <b/>
      <sz val="14"/>
      <color theme="1"/>
      <name val="Aptos Narrow"/>
    </font>
    <font>
      <b/>
      <sz val="12"/>
      <color theme="1"/>
      <name val="Aptos Narrow"/>
    </font>
    <font>
      <b/>
      <sz val="14"/>
      <color theme="9" tint="-0.249977111117893"/>
      <name val="Aptos Narrow"/>
    </font>
    <font>
      <sz val="11"/>
      <color theme="9" tint="-0.249977111117893"/>
      <name val="Aptos Narrow"/>
    </font>
    <font>
      <sz val="11"/>
      <name val="Aptos Narrow"/>
    </font>
    <font>
      <sz val="11"/>
      <color theme="5" tint="-0.249977111117893"/>
      <name val="Aptos Narrow"/>
    </font>
    <font>
      <sz val="11"/>
      <color theme="8" tint="-0.249977111117893"/>
      <name val="Aptos Narrow"/>
    </font>
    <font>
      <b/>
      <sz val="12"/>
      <color theme="9" tint="-0.49995422223578601"/>
      <name val="Aptos Narrow"/>
    </font>
    <font>
      <b/>
      <sz val="11"/>
      <color theme="4" tint="-0.49995422223578601"/>
      <name val="Aptos Narrow"/>
    </font>
    <font>
      <b/>
      <sz val="16"/>
      <color theme="9" tint="0.39997558519241921"/>
      <name val="Aptos Narrow"/>
    </font>
    <font>
      <b/>
      <sz val="16"/>
      <color rgb="FF00B050"/>
      <name val="Aptos Narrow"/>
    </font>
    <font>
      <b/>
      <sz val="18"/>
      <color theme="5"/>
      <name val="Aptos Narrow"/>
    </font>
    <font>
      <b/>
      <sz val="11"/>
      <color theme="9" tint="0.39997558519241921"/>
      <name val="Aptos Narrow"/>
    </font>
    <font>
      <b/>
      <sz val="11"/>
      <color theme="0" tint="-0.249977111117893"/>
      <name val="Aptos Narrow"/>
    </font>
    <font>
      <b/>
      <sz val="11"/>
      <color rgb="FF002060"/>
      <name val="Aptos Narrow"/>
    </font>
    <font>
      <b/>
      <i/>
      <sz val="11"/>
      <color theme="9" tint="-0.49995422223578601"/>
      <name val="Aptos Narrow"/>
    </font>
    <font>
      <i/>
      <sz val="11"/>
      <color theme="1"/>
      <name val="Aptos Narrow"/>
    </font>
    <font>
      <b/>
      <sz val="12"/>
      <color rgb="FF002060"/>
      <name val="Aptos Narrow"/>
    </font>
    <font>
      <b/>
      <sz val="11"/>
      <color rgb="FF00B050"/>
      <name val="Aptos Narrow"/>
    </font>
    <font>
      <b/>
      <sz val="11"/>
      <color theme="9" tint="-0.249977111117893"/>
      <name val="Aptos Narrow"/>
    </font>
    <font>
      <b/>
      <sz val="11"/>
      <color theme="3" tint="-0.249977111117893"/>
      <name val="Aptos Narrow"/>
    </font>
    <font>
      <b/>
      <sz val="11"/>
      <color rgb="FF0070C0"/>
      <name val="Aptos Narrow"/>
    </font>
    <font>
      <b/>
      <sz val="11"/>
      <color rgb="FFFF0000"/>
      <name val="Aptos Narrow"/>
    </font>
    <font>
      <sz val="11"/>
      <color rgb="FF00B050"/>
      <name val="Aptos Narrow"/>
    </font>
    <font>
      <b/>
      <sz val="11"/>
      <color theme="4" tint="-0.249977111117893"/>
      <name val="Aptos Narrow"/>
    </font>
    <font>
      <b/>
      <i/>
      <sz val="11"/>
      <color theme="5" tint="-0.49995422223578601"/>
      <name val="Aptos Narrow"/>
    </font>
    <font>
      <b/>
      <i/>
      <sz val="11"/>
      <color theme="1"/>
      <name val="Aptos Narrow"/>
    </font>
    <font>
      <sz val="11"/>
      <color rgb="FF0070C0"/>
      <name val="Aptos Narrow"/>
    </font>
    <font>
      <b/>
      <sz val="8"/>
      <color theme="9" tint="0.39997558519241921"/>
      <name val="Aptos Narrow"/>
    </font>
    <font>
      <b/>
      <sz val="11"/>
      <color theme="5" tint="-0.249977111117893"/>
      <name val="Aptos Narrow"/>
    </font>
    <font>
      <b/>
      <sz val="18"/>
      <color rgb="FFFFFFFF"/>
      <name val="Aptos Narrow"/>
    </font>
    <font>
      <i/>
      <sz val="10"/>
      <color rgb="FF64748B"/>
      <name val="Aptos Narrow"/>
    </font>
    <font>
      <b/>
      <sz val="11"/>
      <color rgb="FFFFFFFF"/>
      <name val="Aptos Narrow"/>
    </font>
    <font>
      <b/>
      <sz val="12"/>
      <color rgb="FFFFFFFF"/>
      <name val="Aptos Narrow"/>
    </font>
    <font>
      <b/>
      <sz val="11"/>
      <color rgb="FF64748B"/>
      <name val="Aptos Narrow"/>
    </font>
    <font>
      <b/>
      <sz val="18"/>
      <color rgb="FF15324A"/>
      <name val="Aptos Narrow"/>
    </font>
    <font>
      <b/>
      <sz val="18"/>
      <color rgb="FF0F766E"/>
      <name val="Aptos Narrow"/>
    </font>
  </fonts>
  <fills count="2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15324A"/>
      </patternFill>
    </fill>
    <fill>
      <patternFill patternType="solid">
        <fgColor rgb="FFE8F1F5"/>
      </patternFill>
    </fill>
    <fill>
      <patternFill patternType="solid">
        <fgColor rgb="FF0F766E"/>
      </patternFill>
    </fill>
    <fill>
      <patternFill patternType="solid">
        <fgColor rgb="FFFFFFFF"/>
      </patternFill>
    </fill>
  </fills>
  <borders count="7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5">
    <xf numFmtId="0" fontId="0" fillId="0" borderId="0" xfId="0"/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6" fillId="0" borderId="7" xfId="0" applyNumberFormat="1" applyFont="1" applyBorder="1"/>
    <xf numFmtId="0" fontId="0" fillId="4" borderId="8" xfId="0" applyFill="1" applyBorder="1"/>
    <xf numFmtId="0" fontId="0" fillId="4" borderId="9" xfId="0" applyFill="1" applyBorder="1"/>
    <xf numFmtId="164" fontId="0" fillId="0" borderId="10" xfId="0" applyNumberFormat="1" applyBorder="1"/>
    <xf numFmtId="0" fontId="0" fillId="4" borderId="11" xfId="0" applyFill="1" applyBorder="1"/>
    <xf numFmtId="164" fontId="0" fillId="0" borderId="12" xfId="0" applyNumberFormat="1" applyBorder="1"/>
    <xf numFmtId="0" fontId="0" fillId="4" borderId="13" xfId="0" applyFill="1" applyBorder="1"/>
    <xf numFmtId="0" fontId="0" fillId="4" borderId="14" xfId="0" applyFill="1" applyBorder="1"/>
    <xf numFmtId="0" fontId="0" fillId="0" borderId="13" xfId="0" applyBorder="1"/>
    <xf numFmtId="0" fontId="0" fillId="0" borderId="14" xfId="0" applyBorder="1"/>
    <xf numFmtId="0" fontId="0" fillId="5" borderId="13" xfId="0" applyFill="1" applyBorder="1"/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/>
    </xf>
    <xf numFmtId="0" fontId="0" fillId="5" borderId="14" xfId="0" applyFill="1" applyBorder="1"/>
    <xf numFmtId="0" fontId="10" fillId="0" borderId="14" xfId="0" applyFont="1" applyBorder="1"/>
    <xf numFmtId="0" fontId="2" fillId="0" borderId="19" xfId="0" applyFont="1" applyBorder="1"/>
    <xf numFmtId="164" fontId="0" fillId="0" borderId="20" xfId="0" applyNumberFormat="1" applyBorder="1"/>
    <xf numFmtId="0" fontId="11" fillId="5" borderId="14" xfId="0" applyFont="1" applyFill="1" applyBorder="1"/>
    <xf numFmtId="0" fontId="0" fillId="0" borderId="19" xfId="0" applyBorder="1"/>
    <xf numFmtId="0" fontId="10" fillId="0" borderId="21" xfId="0" applyFont="1" applyBorder="1"/>
    <xf numFmtId="0" fontId="0" fillId="0" borderId="21" xfId="0" applyBorder="1"/>
    <xf numFmtId="0" fontId="0" fillId="0" borderId="22" xfId="0" applyBorder="1"/>
    <xf numFmtId="164" fontId="0" fillId="0" borderId="23" xfId="0" applyNumberFormat="1" applyBorder="1"/>
    <xf numFmtId="0" fontId="12" fillId="0" borderId="25" xfId="0" applyFont="1" applyBorder="1"/>
    <xf numFmtId="0" fontId="13" fillId="0" borderId="14" xfId="0" applyFont="1" applyBorder="1"/>
    <xf numFmtId="0" fontId="0" fillId="0" borderId="25" xfId="0" applyBorder="1"/>
    <xf numFmtId="0" fontId="8" fillId="0" borderId="26" xfId="0" applyFont="1" applyBorder="1"/>
    <xf numFmtId="164" fontId="14" fillId="0" borderId="15" xfId="0" applyNumberFormat="1" applyFont="1" applyBorder="1"/>
    <xf numFmtId="0" fontId="3" fillId="0" borderId="17" xfId="0" applyFont="1" applyBorder="1" applyAlignment="1">
      <alignment horizontal="center" vertical="center"/>
    </xf>
    <xf numFmtId="0" fontId="8" fillId="0" borderId="27" xfId="0" applyFont="1" applyBorder="1"/>
    <xf numFmtId="164" fontId="14" fillId="0" borderId="5" xfId="0" applyNumberFormat="1" applyFont="1" applyBorder="1"/>
    <xf numFmtId="0" fontId="7" fillId="0" borderId="28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5" borderId="22" xfId="0" applyFill="1" applyBorder="1"/>
    <xf numFmtId="0" fontId="0" fillId="5" borderId="25" xfId="0" applyFill="1" applyBorder="1"/>
    <xf numFmtId="0" fontId="0" fillId="6" borderId="14" xfId="0" applyFill="1" applyBorder="1"/>
    <xf numFmtId="0" fontId="12" fillId="0" borderId="14" xfId="0" applyFont="1" applyBorder="1"/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3" borderId="5" xfId="1" applyNumberFormat="1" applyFont="1" applyFill="1" applyBorder="1" applyAlignment="1">
      <alignment horizontal="center"/>
    </xf>
    <xf numFmtId="0" fontId="16" fillId="3" borderId="4" xfId="1" applyNumberFormat="1" applyFont="1" applyFill="1" applyBorder="1" applyAlignment="1">
      <alignment horizontal="center"/>
    </xf>
    <xf numFmtId="0" fontId="5" fillId="3" borderId="44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16" xfId="1" applyNumberFormat="1" applyFont="1" applyFill="1" applyBorder="1" applyAlignment="1">
      <alignment horizontal="center" vertical="center"/>
    </xf>
    <xf numFmtId="0" fontId="5" fillId="3" borderId="49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/>
    <xf numFmtId="0" fontId="19" fillId="3" borderId="27" xfId="1" applyFont="1" applyFill="1" applyBorder="1" applyAlignment="1">
      <alignment horizontal="center"/>
    </xf>
    <xf numFmtId="0" fontId="19" fillId="3" borderId="48" xfId="1" applyFont="1" applyFill="1" applyBorder="1" applyAlignment="1">
      <alignment horizontal="center"/>
    </xf>
    <xf numFmtId="0" fontId="19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 vertical="center"/>
    </xf>
    <xf numFmtId="0" fontId="19" fillId="3" borderId="48" xfId="1" applyFont="1" applyFill="1" applyBorder="1" applyAlignment="1">
      <alignment horizontal="right" vertical="center"/>
    </xf>
    <xf numFmtId="0" fontId="5" fillId="3" borderId="49" xfId="1" applyFont="1" applyFill="1" applyBorder="1" applyAlignment="1">
      <alignment horizontal="center" vertical="center"/>
    </xf>
    <xf numFmtId="0" fontId="19" fillId="3" borderId="49" xfId="1" applyFont="1" applyFill="1" applyBorder="1" applyAlignment="1">
      <alignment horizontal="center"/>
    </xf>
    <xf numFmtId="0" fontId="19" fillId="3" borderId="32" xfId="1" applyFont="1" applyFill="1" applyBorder="1" applyAlignment="1">
      <alignment horizontal="center"/>
    </xf>
    <xf numFmtId="0" fontId="19" fillId="3" borderId="32" xfId="1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horizontal="left" vertical="center"/>
    </xf>
    <xf numFmtId="3" fontId="22" fillId="8" borderId="28" xfId="0" applyNumberFormat="1" applyFont="1" applyFill="1" applyBorder="1" applyAlignment="1">
      <alignment horizontal="center" vertical="center"/>
    </xf>
    <xf numFmtId="0" fontId="23" fillId="8" borderId="54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24" fillId="9" borderId="15" xfId="1" applyFont="1" applyFill="1" applyBorder="1" applyAlignment="1">
      <alignment horizontal="center" vertical="center"/>
    </xf>
    <xf numFmtId="0" fontId="25" fillId="10" borderId="15" xfId="0" applyFont="1" applyFill="1" applyBorder="1" applyAlignment="1">
      <alignment horizontal="right"/>
    </xf>
    <xf numFmtId="0" fontId="19" fillId="9" borderId="49" xfId="1" applyFont="1" applyFill="1" applyBorder="1" applyAlignment="1">
      <alignment horizontal="center"/>
    </xf>
    <xf numFmtId="0" fontId="26" fillId="10" borderId="15" xfId="1" applyFont="1" applyFill="1" applyBorder="1" applyAlignment="1">
      <alignment horizontal="center"/>
    </xf>
    <xf numFmtId="0" fontId="26" fillId="10" borderId="15" xfId="1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27" fillId="8" borderId="28" xfId="0" applyFont="1" applyFill="1" applyBorder="1" applyAlignment="1">
      <alignment horizontal="left" vertical="center"/>
    </xf>
    <xf numFmtId="3" fontId="23" fillId="8" borderId="54" xfId="0" applyNumberFormat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right"/>
    </xf>
    <xf numFmtId="0" fontId="19" fillId="9" borderId="54" xfId="1" applyFont="1" applyFill="1" applyBorder="1" applyAlignment="1">
      <alignment horizontal="center"/>
    </xf>
    <xf numFmtId="0" fontId="26" fillId="10" borderId="7" xfId="1" applyFont="1" applyFill="1" applyBorder="1" applyAlignment="1">
      <alignment horizontal="center"/>
    </xf>
    <xf numFmtId="0" fontId="28" fillId="10" borderId="7" xfId="1" applyFont="1" applyFill="1" applyBorder="1" applyAlignment="1">
      <alignment horizontal="left" vertical="center"/>
    </xf>
    <xf numFmtId="0" fontId="19" fillId="3" borderId="17" xfId="0" applyFont="1" applyFill="1" applyBorder="1" applyAlignment="1">
      <alignment horizontal="center" vertical="center"/>
    </xf>
    <xf numFmtId="0" fontId="27" fillId="8" borderId="29" xfId="0" applyFont="1" applyFill="1" applyBorder="1" applyAlignment="1">
      <alignment horizontal="left" vertical="center"/>
    </xf>
    <xf numFmtId="0" fontId="22" fillId="8" borderId="29" xfId="0" applyFont="1" applyFill="1" applyBorder="1" applyAlignment="1">
      <alignment horizontal="center" vertical="center"/>
    </xf>
    <xf numFmtId="0" fontId="23" fillId="8" borderId="50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right" vertical="center"/>
    </xf>
    <xf numFmtId="0" fontId="24" fillId="9" borderId="17" xfId="1" applyFont="1" applyFill="1" applyBorder="1" applyAlignment="1">
      <alignment horizontal="center" vertical="center"/>
    </xf>
    <xf numFmtId="0" fontId="25" fillId="10" borderId="17" xfId="0" applyFont="1" applyFill="1" applyBorder="1" applyAlignment="1">
      <alignment horizontal="right"/>
    </xf>
    <xf numFmtId="0" fontId="19" fillId="9" borderId="50" xfId="1" applyFont="1" applyFill="1" applyBorder="1" applyAlignment="1">
      <alignment horizontal="center"/>
    </xf>
    <xf numFmtId="0" fontId="26" fillId="10" borderId="7" xfId="1" applyFont="1" applyFill="1" applyBorder="1" applyAlignment="1">
      <alignment horizontal="left" vertical="center"/>
    </xf>
    <xf numFmtId="0" fontId="0" fillId="8" borderId="54" xfId="0" applyFill="1" applyBorder="1" applyAlignment="1">
      <alignment horizontal="right" vertical="center"/>
    </xf>
    <xf numFmtId="0" fontId="24" fillId="9" borderId="54" xfId="0" applyFont="1" applyFill="1" applyBorder="1" applyAlignment="1">
      <alignment horizontal="center" vertical="center"/>
    </xf>
    <xf numFmtId="0" fontId="25" fillId="9" borderId="0" xfId="0" applyFont="1" applyFill="1"/>
    <xf numFmtId="0" fontId="26" fillId="10" borderId="15" xfId="0" applyFont="1" applyFill="1" applyBorder="1" applyAlignment="1">
      <alignment horizontal="center"/>
    </xf>
    <xf numFmtId="0" fontId="26" fillId="10" borderId="15" xfId="0" applyFont="1" applyFill="1" applyBorder="1" applyAlignment="1">
      <alignment horizontal="left" vertical="center"/>
    </xf>
    <xf numFmtId="0" fontId="3" fillId="8" borderId="28" xfId="0" applyFont="1" applyFill="1" applyBorder="1" applyAlignment="1">
      <alignment horizontal="left" vertical="center"/>
    </xf>
    <xf numFmtId="0" fontId="22" fillId="8" borderId="28" xfId="0" applyFont="1" applyFill="1" applyBorder="1" applyAlignment="1">
      <alignment horizontal="center" vertical="center"/>
    </xf>
    <xf numFmtId="0" fontId="23" fillId="8" borderId="54" xfId="0" applyFont="1" applyFill="1" applyBorder="1" applyAlignment="1">
      <alignment horizontal="right" vertical="center"/>
    </xf>
    <xf numFmtId="0" fontId="0" fillId="9" borderId="18" xfId="0" applyFill="1" applyBorder="1"/>
    <xf numFmtId="0" fontId="26" fillId="10" borderId="7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left" vertical="center"/>
    </xf>
    <xf numFmtId="0" fontId="20" fillId="3" borderId="55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7" fillId="8" borderId="56" xfId="0" applyFont="1" applyFill="1" applyBorder="1" applyAlignment="1">
      <alignment horizontal="left" vertical="center"/>
    </xf>
    <xf numFmtId="3" fontId="23" fillId="8" borderId="58" xfId="0" applyNumberFormat="1" applyFont="1" applyFill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5" fillId="10" borderId="59" xfId="0" applyFont="1" applyFill="1" applyBorder="1" applyAlignment="1">
      <alignment horizontal="right"/>
    </xf>
    <xf numFmtId="0" fontId="0" fillId="9" borderId="0" xfId="0" applyFill="1"/>
    <xf numFmtId="0" fontId="3" fillId="8" borderId="10" xfId="0" applyFont="1" applyFill="1" applyBorder="1" applyAlignment="1">
      <alignment horizontal="left" vertical="center"/>
    </xf>
    <xf numFmtId="0" fontId="23" fillId="8" borderId="28" xfId="0" applyFont="1" applyFill="1" applyBorder="1" applyAlignment="1">
      <alignment horizontal="center" vertical="center"/>
    </xf>
    <xf numFmtId="0" fontId="0" fillId="9" borderId="16" xfId="0" applyFill="1" applyBorder="1"/>
    <xf numFmtId="0" fontId="27" fillId="8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14" fontId="0" fillId="0" borderId="0" xfId="0" applyNumberFormat="1"/>
    <xf numFmtId="0" fontId="28" fillId="8" borderId="7" xfId="0" applyFont="1" applyFill="1" applyBorder="1" applyAlignment="1">
      <alignment horizontal="left" vertical="center"/>
    </xf>
    <xf numFmtId="0" fontId="25" fillId="0" borderId="0" xfId="0" applyFont="1" applyAlignment="1">
      <alignment horizontal="center"/>
    </xf>
    <xf numFmtId="0" fontId="29" fillId="10" borderId="7" xfId="0" applyFont="1" applyFill="1" applyBorder="1" applyAlignment="1">
      <alignment horizontal="left" vertical="center"/>
    </xf>
    <xf numFmtId="0" fontId="21" fillId="8" borderId="7" xfId="0" applyFont="1" applyFill="1" applyBorder="1" applyAlignment="1">
      <alignment horizontal="left" vertical="center"/>
    </xf>
    <xf numFmtId="0" fontId="24" fillId="9" borderId="7" xfId="0" applyFont="1" applyFill="1" applyBorder="1" applyAlignment="1">
      <alignment horizontal="center" vertical="center"/>
    </xf>
    <xf numFmtId="0" fontId="29" fillId="10" borderId="7" xfId="0" applyFont="1" applyFill="1" applyBorder="1" applyAlignment="1">
      <alignment horizontal="right"/>
    </xf>
    <xf numFmtId="0" fontId="3" fillId="8" borderId="17" xfId="0" applyFont="1" applyFill="1" applyBorder="1" applyAlignment="1">
      <alignment horizontal="left" vertical="center"/>
    </xf>
    <xf numFmtId="0" fontId="23" fillId="8" borderId="29" xfId="0" applyFont="1" applyFill="1" applyBorder="1" applyAlignment="1">
      <alignment horizontal="center" vertical="center"/>
    </xf>
    <xf numFmtId="0" fontId="23" fillId="8" borderId="50" xfId="0" applyFont="1" applyFill="1" applyBorder="1" applyAlignment="1">
      <alignment horizontal="right" vertical="center"/>
    </xf>
    <xf numFmtId="0" fontId="24" fillId="9" borderId="50" xfId="0" applyFont="1" applyFill="1" applyBorder="1" applyAlignment="1">
      <alignment horizontal="center" vertical="center"/>
    </xf>
    <xf numFmtId="0" fontId="25" fillId="9" borderId="18" xfId="0" applyFont="1" applyFill="1" applyBorder="1" applyAlignment="1">
      <alignment horizontal="center"/>
    </xf>
    <xf numFmtId="0" fontId="26" fillId="10" borderId="17" xfId="0" applyFont="1" applyFill="1" applyBorder="1" applyAlignment="1">
      <alignment horizontal="center"/>
    </xf>
    <xf numFmtId="0" fontId="26" fillId="10" borderId="17" xfId="0" applyFont="1" applyFill="1" applyBorder="1" applyAlignment="1">
      <alignment horizontal="left" vertical="center"/>
    </xf>
    <xf numFmtId="0" fontId="27" fillId="8" borderId="15" xfId="0" applyFont="1" applyFill="1" applyBorder="1" applyAlignment="1">
      <alignment horizontal="left" vertical="center"/>
    </xf>
    <xf numFmtId="3" fontId="22" fillId="8" borderId="26" xfId="0" applyNumberFormat="1" applyFont="1" applyFill="1" applyBorder="1" applyAlignment="1">
      <alignment horizontal="center" vertical="center"/>
    </xf>
    <xf numFmtId="0" fontId="23" fillId="8" borderId="49" xfId="0" applyFont="1" applyFill="1" applyBorder="1" applyAlignment="1">
      <alignment horizontal="center" vertical="center"/>
    </xf>
    <xf numFmtId="0" fontId="23" fillId="8" borderId="26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0" fillId="8" borderId="49" xfId="0" applyFill="1" applyBorder="1" applyAlignment="1">
      <alignment horizontal="right" vertical="center"/>
    </xf>
    <xf numFmtId="0" fontId="24" fillId="9" borderId="15" xfId="0" applyFont="1" applyFill="1" applyBorder="1" applyAlignment="1">
      <alignment horizontal="center" vertical="center"/>
    </xf>
    <xf numFmtId="14" fontId="30" fillId="0" borderId="0" xfId="0" applyNumberFormat="1" applyFont="1"/>
    <xf numFmtId="0" fontId="31" fillId="8" borderId="7" xfId="0" applyFont="1" applyFill="1" applyBorder="1" applyAlignment="1">
      <alignment horizontal="left" vertical="center"/>
    </xf>
    <xf numFmtId="0" fontId="25" fillId="9" borderId="0" xfId="0" applyFont="1" applyFill="1" applyAlignment="1">
      <alignment horizontal="center"/>
    </xf>
    <xf numFmtId="0" fontId="28" fillId="10" borderId="7" xfId="0" applyFont="1" applyFill="1" applyBorder="1" applyAlignment="1">
      <alignment horizontal="left" vertical="center"/>
    </xf>
    <xf numFmtId="0" fontId="3" fillId="8" borderId="54" xfId="0" applyFont="1" applyFill="1" applyBorder="1" applyAlignment="1">
      <alignment horizontal="right" vertical="center"/>
    </xf>
    <xf numFmtId="0" fontId="3" fillId="11" borderId="7" xfId="0" applyFont="1" applyFill="1" applyBorder="1" applyAlignment="1">
      <alignment horizontal="left" vertical="center"/>
    </xf>
    <xf numFmtId="3" fontId="32" fillId="11" borderId="28" xfId="0" applyNumberFormat="1" applyFont="1" applyFill="1" applyBorder="1" applyAlignment="1">
      <alignment horizontal="center" vertical="center"/>
    </xf>
    <xf numFmtId="3" fontId="33" fillId="11" borderId="54" xfId="0" applyNumberFormat="1" applyFont="1" applyFill="1" applyBorder="1" applyAlignment="1">
      <alignment horizontal="center" vertical="center"/>
    </xf>
    <xf numFmtId="0" fontId="23" fillId="11" borderId="28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11" borderId="54" xfId="0" applyFill="1" applyBorder="1" applyAlignment="1">
      <alignment horizontal="right" vertical="center"/>
    </xf>
    <xf numFmtId="0" fontId="10" fillId="10" borderId="7" xfId="0" applyFont="1" applyFill="1" applyBorder="1"/>
    <xf numFmtId="0" fontId="10" fillId="10" borderId="7" xfId="0" applyFont="1" applyFill="1" applyBorder="1" applyAlignment="1">
      <alignment horizontal="left" vertical="center"/>
    </xf>
    <xf numFmtId="0" fontId="3" fillId="12" borderId="17" xfId="0" applyFont="1" applyFill="1" applyBorder="1" applyAlignment="1">
      <alignment horizontal="left" vertical="center"/>
    </xf>
    <xf numFmtId="3" fontId="32" fillId="12" borderId="29" xfId="0" applyNumberFormat="1" applyFont="1" applyFill="1" applyBorder="1" applyAlignment="1">
      <alignment horizontal="center" vertical="center"/>
    </xf>
    <xf numFmtId="3" fontId="33" fillId="12" borderId="50" xfId="0" applyNumberFormat="1" applyFont="1" applyFill="1" applyBorder="1" applyAlignment="1">
      <alignment horizontal="center" vertical="center"/>
    </xf>
    <xf numFmtId="0" fontId="23" fillId="12" borderId="29" xfId="0" applyFont="1" applyFill="1" applyBorder="1" applyAlignment="1">
      <alignment horizontal="center" vertical="center"/>
    </xf>
    <xf numFmtId="0" fontId="23" fillId="12" borderId="18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 vertical="center"/>
    </xf>
    <xf numFmtId="0" fontId="0" fillId="12" borderId="50" xfId="0" applyFill="1" applyBorder="1" applyAlignment="1">
      <alignment horizontal="right" vertical="center"/>
    </xf>
    <xf numFmtId="0" fontId="29" fillId="10" borderId="17" xfId="0" applyFont="1" applyFill="1" applyBorder="1" applyAlignment="1">
      <alignment horizontal="right"/>
    </xf>
    <xf numFmtId="0" fontId="10" fillId="10" borderId="17" xfId="0" applyFont="1" applyFill="1" applyBorder="1"/>
    <xf numFmtId="0" fontId="10" fillId="10" borderId="17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10" fillId="10" borderId="15" xfId="0" applyFont="1" applyFill="1" applyBorder="1"/>
    <xf numFmtId="0" fontId="10" fillId="10" borderId="1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3" fontId="33" fillId="8" borderId="28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0" fillId="10" borderId="7" xfId="0" applyFill="1" applyBorder="1"/>
    <xf numFmtId="0" fontId="0" fillId="10" borderId="7" xfId="0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 vertical="center"/>
    </xf>
    <xf numFmtId="3" fontId="32" fillId="12" borderId="28" xfId="0" applyNumberFormat="1" applyFont="1" applyFill="1" applyBorder="1" applyAlignment="1">
      <alignment horizontal="center" vertical="center"/>
    </xf>
    <xf numFmtId="3" fontId="33" fillId="12" borderId="54" xfId="0" applyNumberFormat="1" applyFont="1" applyFill="1" applyBorder="1" applyAlignment="1">
      <alignment horizontal="center" vertical="center"/>
    </xf>
    <xf numFmtId="0" fontId="23" fillId="12" borderId="28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0" fillId="12" borderId="54" xfId="0" applyFill="1" applyBorder="1" applyAlignment="1">
      <alignment horizontal="right" vertical="center"/>
    </xf>
    <xf numFmtId="0" fontId="20" fillId="3" borderId="17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left" vertical="center"/>
    </xf>
    <xf numFmtId="3" fontId="32" fillId="11" borderId="29" xfId="0" applyNumberFormat="1" applyFont="1" applyFill="1" applyBorder="1" applyAlignment="1">
      <alignment horizontal="center" vertical="center"/>
    </xf>
    <xf numFmtId="3" fontId="33" fillId="11" borderId="50" xfId="0" applyNumberFormat="1" applyFont="1" applyFill="1" applyBorder="1" applyAlignment="1">
      <alignment horizontal="center" vertical="center"/>
    </xf>
    <xf numFmtId="0" fontId="23" fillId="11" borderId="29" xfId="0" applyFont="1" applyFill="1" applyBorder="1" applyAlignment="1">
      <alignment horizontal="center" vertical="center"/>
    </xf>
    <xf numFmtId="0" fontId="23" fillId="11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0" fillId="11" borderId="50" xfId="0" applyFill="1" applyBorder="1" applyAlignment="1">
      <alignment horizontal="right" vertical="center"/>
    </xf>
    <xf numFmtId="0" fontId="24" fillId="9" borderId="1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right"/>
    </xf>
    <xf numFmtId="3" fontId="23" fillId="8" borderId="65" xfId="0" applyNumberFormat="1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left" vertical="center"/>
    </xf>
    <xf numFmtId="0" fontId="0" fillId="8" borderId="16" xfId="0" applyFill="1" applyBorder="1" applyAlignment="1">
      <alignment horizontal="right" vertical="center"/>
    </xf>
    <xf numFmtId="0" fontId="0" fillId="10" borderId="15" xfId="0" applyFill="1" applyBorder="1"/>
    <xf numFmtId="0" fontId="34" fillId="10" borderId="7" xfId="0" applyFont="1" applyFill="1" applyBorder="1" applyAlignment="1">
      <alignment horizontal="left" vertical="center"/>
    </xf>
    <xf numFmtId="0" fontId="21" fillId="8" borderId="28" xfId="0" applyFont="1" applyFill="1" applyBorder="1" applyAlignment="1">
      <alignment horizontal="left" vertical="center"/>
    </xf>
    <xf numFmtId="0" fontId="35" fillId="3" borderId="15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center"/>
    </xf>
    <xf numFmtId="0" fontId="25" fillId="10" borderId="7" xfId="0" applyFont="1" applyFill="1" applyBorder="1" applyAlignment="1">
      <alignment horizontal="left" vertical="center"/>
    </xf>
    <xf numFmtId="0" fontId="3" fillId="11" borderId="28" xfId="0" applyFont="1" applyFill="1" applyBorder="1" applyAlignment="1">
      <alignment horizontal="left" vertical="center"/>
    </xf>
    <xf numFmtId="0" fontId="0" fillId="11" borderId="0" xfId="0" applyFill="1" applyAlignment="1">
      <alignment horizontal="right" vertical="center"/>
    </xf>
    <xf numFmtId="0" fontId="3" fillId="8" borderId="29" xfId="0" applyFont="1" applyFill="1" applyBorder="1" applyAlignment="1">
      <alignment horizontal="left" vertical="center"/>
    </xf>
    <xf numFmtId="0" fontId="20" fillId="3" borderId="2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24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24" fillId="9" borderId="1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6" fillId="8" borderId="28" xfId="0" applyFont="1" applyFill="1" applyBorder="1" applyAlignment="1">
      <alignment horizontal="left" vertical="center"/>
    </xf>
    <xf numFmtId="0" fontId="19" fillId="3" borderId="44" xfId="0" applyFont="1" applyFill="1" applyBorder="1" applyAlignment="1">
      <alignment horizontal="center" vertical="center"/>
    </xf>
    <xf numFmtId="0" fontId="34" fillId="10" borderId="15" xfId="0" applyFont="1" applyFill="1" applyBorder="1" applyAlignment="1">
      <alignment horizontal="left" vertical="center"/>
    </xf>
    <xf numFmtId="0" fontId="19" fillId="3" borderId="64" xfId="0" applyFont="1" applyFill="1" applyBorder="1" applyAlignment="1">
      <alignment horizontal="center" vertical="center"/>
    </xf>
    <xf numFmtId="3" fontId="22" fillId="8" borderId="29" xfId="0" applyNumberFormat="1" applyFont="1" applyFill="1" applyBorder="1" applyAlignment="1">
      <alignment horizontal="center" vertical="center"/>
    </xf>
    <xf numFmtId="3" fontId="23" fillId="8" borderId="50" xfId="0" applyNumberFormat="1" applyFont="1" applyFill="1" applyBorder="1" applyAlignment="1">
      <alignment horizontal="center" vertical="center"/>
    </xf>
    <xf numFmtId="0" fontId="0" fillId="8" borderId="18" xfId="0" applyFill="1" applyBorder="1" applyAlignment="1">
      <alignment horizontal="right" vertical="center"/>
    </xf>
    <xf numFmtId="0" fontId="0" fillId="10" borderId="17" xfId="0" applyFill="1" applyBorder="1"/>
    <xf numFmtId="0" fontId="34" fillId="10" borderId="17" xfId="0" applyFont="1" applyFill="1" applyBorder="1" applyAlignment="1">
      <alignment horizontal="left" vertical="center"/>
    </xf>
    <xf numFmtId="0" fontId="19" fillId="3" borderId="54" xfId="1" applyFont="1" applyFill="1" applyBorder="1" applyAlignment="1">
      <alignment horizontal="center"/>
    </xf>
    <xf numFmtId="0" fontId="0" fillId="10" borderId="15" xfId="0" applyFill="1" applyBorder="1" applyAlignment="1">
      <alignment horizontal="right"/>
    </xf>
    <xf numFmtId="0" fontId="0" fillId="9" borderId="26" xfId="0" applyFill="1" applyBorder="1"/>
    <xf numFmtId="0" fontId="0" fillId="9" borderId="28" xfId="0" applyFill="1" applyBorder="1"/>
    <xf numFmtId="0" fontId="0" fillId="0" borderId="0" xfId="0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8" xfId="0" applyFont="1" applyBorder="1"/>
    <xf numFmtId="0" fontId="21" fillId="0" borderId="9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34" fillId="0" borderId="9" xfId="0" applyFont="1" applyBorder="1" applyAlignment="1">
      <alignment horizontal="right"/>
    </xf>
    <xf numFmtId="49" fontId="3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right"/>
    </xf>
    <xf numFmtId="49" fontId="0" fillId="0" borderId="68" xfId="0" applyNumberFormat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13" xfId="0" applyFont="1" applyBorder="1"/>
    <xf numFmtId="0" fontId="21" fillId="0" borderId="14" xfId="0" applyFont="1" applyBorder="1" applyAlignment="1">
      <alignment horizontal="right"/>
    </xf>
    <xf numFmtId="0" fontId="34" fillId="0" borderId="14" xfId="0" applyFont="1" applyBorder="1" applyAlignment="1">
      <alignment horizontal="right"/>
    </xf>
    <xf numFmtId="49" fontId="3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right"/>
    </xf>
    <xf numFmtId="49" fontId="0" fillId="0" borderId="70" xfId="0" applyNumberFormat="1" applyBorder="1" applyAlignment="1">
      <alignment horizontal="center"/>
    </xf>
    <xf numFmtId="0" fontId="0" fillId="8" borderId="39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19" xfId="0" applyFont="1" applyBorder="1"/>
    <xf numFmtId="0" fontId="21" fillId="0" borderId="21" xfId="0" applyFont="1" applyBorder="1" applyAlignment="1">
      <alignment horizontal="right"/>
    </xf>
    <xf numFmtId="0" fontId="0" fillId="0" borderId="21" xfId="0" applyBorder="1" applyAlignment="1">
      <alignment horizontal="center"/>
    </xf>
    <xf numFmtId="0" fontId="34" fillId="0" borderId="21" xfId="0" applyFont="1" applyBorder="1" applyAlignment="1">
      <alignment horizontal="right"/>
    </xf>
    <xf numFmtId="49" fontId="3" fillId="0" borderId="21" xfId="0" applyNumberFormat="1" applyFont="1" applyBorder="1" applyAlignment="1">
      <alignment horizontal="center"/>
    </xf>
    <xf numFmtId="0" fontId="0" fillId="0" borderId="21" xfId="0" applyBorder="1" applyAlignment="1">
      <alignment horizontal="right"/>
    </xf>
    <xf numFmtId="49" fontId="0" fillId="0" borderId="71" xfId="0" applyNumberFormat="1" applyBorder="1" applyAlignment="1">
      <alignment horizontal="center"/>
    </xf>
    <xf numFmtId="0" fontId="0" fillId="8" borderId="71" xfId="0" applyFill="1" applyBorder="1" applyAlignment="1">
      <alignment horizontal="center" vertical="center"/>
    </xf>
    <xf numFmtId="0" fontId="3" fillId="0" borderId="11" xfId="0" applyFont="1" applyBorder="1"/>
    <xf numFmtId="0" fontId="21" fillId="0" borderId="24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34" fillId="0" borderId="24" xfId="0" applyFont="1" applyBorder="1" applyAlignment="1">
      <alignment horizontal="right"/>
    </xf>
    <xf numFmtId="49" fontId="3" fillId="0" borderId="24" xfId="0" applyNumberFormat="1" applyFont="1" applyBorder="1" applyAlignment="1">
      <alignment horizontal="center"/>
    </xf>
    <xf numFmtId="0" fontId="0" fillId="0" borderId="24" xfId="0" applyBorder="1" applyAlignment="1">
      <alignment horizontal="right"/>
    </xf>
    <xf numFmtId="49" fontId="0" fillId="0" borderId="24" xfId="0" applyNumberFormat="1" applyBorder="1" applyAlignment="1">
      <alignment horizontal="right"/>
    </xf>
    <xf numFmtId="49" fontId="0" fillId="0" borderId="72" xfId="0" applyNumberFormat="1" applyBorder="1" applyAlignment="1">
      <alignment horizont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2" xfId="0" applyFont="1" applyBorder="1"/>
    <xf numFmtId="0" fontId="21" fillId="0" borderId="25" xfId="0" applyFont="1" applyBorder="1" applyAlignment="1">
      <alignment horizontal="right"/>
    </xf>
    <xf numFmtId="0" fontId="34" fillId="0" borderId="25" xfId="0" applyFont="1" applyBorder="1" applyAlignment="1">
      <alignment horizontal="right"/>
    </xf>
    <xf numFmtId="49" fontId="3" fillId="0" borderId="25" xfId="0" applyNumberFormat="1" applyFont="1" applyBorder="1" applyAlignment="1">
      <alignment horizontal="center"/>
    </xf>
    <xf numFmtId="0" fontId="0" fillId="0" borderId="25" xfId="0" applyBorder="1" applyAlignment="1">
      <alignment horizontal="right"/>
    </xf>
    <xf numFmtId="49" fontId="0" fillId="0" borderId="75" xfId="0" applyNumberFormat="1" applyBorder="1" applyAlignment="1">
      <alignment horizontal="center"/>
    </xf>
    <xf numFmtId="0" fontId="0" fillId="8" borderId="43" xfId="0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3" fillId="0" borderId="3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right"/>
    </xf>
    <xf numFmtId="0" fontId="0" fillId="13" borderId="14" xfId="0" applyFill="1" applyBorder="1"/>
    <xf numFmtId="0" fontId="0" fillId="14" borderId="14" xfId="0" applyFill="1" applyBorder="1"/>
    <xf numFmtId="0" fontId="0" fillId="15" borderId="14" xfId="0" applyFill="1" applyBorder="1"/>
    <xf numFmtId="0" fontId="3" fillId="0" borderId="4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5" borderId="25" xfId="0" applyFill="1" applyBorder="1"/>
    <xf numFmtId="49" fontId="0" fillId="0" borderId="25" xfId="0" applyNumberFormat="1" applyBorder="1" applyAlignment="1">
      <alignment horizontal="right"/>
    </xf>
    <xf numFmtId="0" fontId="0" fillId="13" borderId="25" xfId="0" applyFill="1" applyBorder="1"/>
    <xf numFmtId="0" fontId="3" fillId="0" borderId="49" xfId="0" applyFont="1" applyBorder="1" applyAlignment="1">
      <alignment horizontal="center" vertical="center"/>
    </xf>
    <xf numFmtId="0" fontId="2" fillId="6" borderId="12" xfId="0" applyFont="1" applyFill="1" applyBorder="1"/>
    <xf numFmtId="0" fontId="3" fillId="13" borderId="39" xfId="0" applyFont="1" applyFill="1" applyBorder="1"/>
    <xf numFmtId="0" fontId="3" fillId="13" borderId="43" xfId="0" applyFont="1" applyFill="1" applyBorder="1"/>
    <xf numFmtId="0" fontId="39" fillId="18" borderId="0" xfId="0" applyFont="1" applyFill="1"/>
    <xf numFmtId="0" fontId="39" fillId="18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40" fillId="18" borderId="0" xfId="0" applyFont="1" applyFill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3" fillId="0" borderId="44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5" xfId="0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24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24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9" xfId="0" applyBorder="1" applyAlignment="1">
      <alignment horizontal="center"/>
    </xf>
    <xf numFmtId="0" fontId="5" fillId="3" borderId="11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35" fillId="3" borderId="7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6" fillId="3" borderId="27" xfId="1" applyNumberFormat="1" applyFont="1" applyFill="1" applyBorder="1" applyAlignment="1">
      <alignment horizontal="center" vertical="center"/>
    </xf>
    <xf numFmtId="0" fontId="16" fillId="3" borderId="48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3" fontId="22" fillId="8" borderId="57" xfId="0" applyNumberFormat="1" applyFont="1" applyFill="1" applyBorder="1" applyAlignment="1">
      <alignment horizontal="center" vertical="center"/>
    </xf>
    <xf numFmtId="3" fontId="22" fillId="8" borderId="61" xfId="0" applyNumberFormat="1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19" fillId="3" borderId="62" xfId="0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0" fontId="37" fillId="16" borderId="0" xfId="0" applyFont="1" applyFill="1" applyAlignment="1">
      <alignment vertical="center"/>
    </xf>
    <xf numFmtId="0" fontId="38" fillId="17" borderId="0" xfId="0" applyFont="1" applyFill="1" applyAlignment="1">
      <alignment wrapText="1"/>
    </xf>
    <xf numFmtId="0" fontId="41" fillId="17" borderId="0" xfId="0" applyFont="1" applyFill="1" applyAlignment="1">
      <alignment horizontal="center"/>
    </xf>
    <xf numFmtId="0" fontId="42" fillId="19" borderId="0" xfId="0" applyFont="1" applyFill="1" applyAlignment="1">
      <alignment horizontal="center"/>
    </xf>
    <xf numFmtId="9" fontId="43" fillId="19" borderId="0" xfId="0" applyNumberFormat="1" applyFont="1" applyFill="1" applyAlignment="1">
      <alignment horizontal="center"/>
    </xf>
    <xf numFmtId="0" fontId="43" fillId="19" borderId="0" xfId="0" applyFont="1" applyFill="1" applyAlignment="1">
      <alignment horizontal="center"/>
    </xf>
    <xf numFmtId="0" fontId="0" fillId="0" borderId="0" xfId="0" applyAlignment="1">
      <alignment vertical="center" wrapText="1"/>
    </xf>
  </cellXfs>
  <cellStyles count="2">
    <cellStyle name="Cálculo" xfId="1" xr:uid="{00000000-0005-0000-0000-000000000000}"/>
    <cellStyle name="Normal" xfId="0" builtinId="0"/>
  </cellStyles>
  <dxfs count="180">
    <dxf>
      <font>
        <b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975"/>
              <a:t>Avance del proyecto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'00_Resumen'!$A$16:$A$20</c:f>
              <c:strCache>
                <c:ptCount val="5"/>
                <c:pt idx="0">
                  <c:v>Implementado</c:v>
                </c:pt>
                <c:pt idx="1">
                  <c:v>Planificado</c:v>
                </c:pt>
                <c:pt idx="2">
                  <c:v>En ejecución</c:v>
                </c:pt>
                <c:pt idx="3">
                  <c:v>Pausado</c:v>
                </c:pt>
                <c:pt idx="4">
                  <c:v>Cancelado</c:v>
                </c:pt>
              </c:strCache>
            </c:strRef>
          </c:cat>
          <c:val>
            <c:numRef>
              <c:f>'00_Resumen'!$B$16:$B$20</c:f>
              <c:numCache>
                <c:formatCode>General</c:formatCode>
                <c:ptCount val="5"/>
                <c:pt idx="0">
                  <c:v>45</c:v>
                </c:pt>
                <c:pt idx="1">
                  <c:v>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7-415C-BAB3-ECB7D2C8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752475</xdr:colOff>
      <xdr:row>48</xdr:row>
      <xdr:rowOff>0</xdr:rowOff>
    </xdr:to>
    <xdr:sp macro="" textlink="">
      <xdr:nvSpPr>
        <xdr:cNvPr id="1087" name="Text Box 63" hidden="1">
          <a:extLst>
            <a:ext uri="{FF2B5EF4-FFF2-40B4-BE49-F238E27FC236}">
              <a16:creationId xmlns:a16="http://schemas.microsoft.com/office/drawing/2014/main" id="{B1320B42-6877-E8B8-B5B1-986F1F6D7D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ist_seguridad" id="{6511D155-F791-492A-92E5-7D6992FB2C6D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bicaciones" displayName="tblUbicaciones" ref="A4:N103" totalsRowShown="0">
  <tableColumns count="14">
    <tableColumn id="1" xr3:uid="{00000000-0010-0000-0000-000001000000}" name="ID Ubicación"/>
    <tableColumn id="2" xr3:uid="{00000000-0010-0000-0000-000002000000}" name="Código SIIS"/>
    <tableColumn id="3" xr3:uid="{00000000-0010-0000-0000-000003000000}" name="Nombre canónico"/>
    <tableColumn id="4" xr3:uid="{00000000-0010-0000-0000-000004000000}" name="Zona"/>
    <tableColumn id="5" xr3:uid="{00000000-0010-0000-0000-000005000000}" name="R1"/>
    <tableColumn id="6" xr3:uid="{00000000-0010-0000-0000-000006000000}" name="R2"/>
    <tableColumn id="7" xr3:uid="{00000000-0010-0000-0000-000007000000}" name="R3"/>
    <tableColumn id="8" xr3:uid="{00000000-0010-0000-0000-000008000000}" name="Estado conciliación"/>
    <tableColumn id="9" xr3:uid="{00000000-0010-0000-0000-000009000000}" name="Candidato del inventario"/>
    <tableColumn id="10" xr3:uid="{00000000-0010-0000-0000-00000A000000}" name="Confianza sugerencia"/>
    <tableColumn id="11" xr3:uid="{00000000-0010-0000-0000-00000B000000}" name="Cobertura CCTV"/>
    <tableColumn id="12" xr3:uid="{00000000-0010-0000-0000-00000C000000}" name="ID dispositivo"/>
    <tableColumn id="13" xr3:uid="{00000000-0010-0000-0000-00000D000000}" name="Fila fuente mantenimiento"/>
    <tableColumn id="14" xr3:uid="{00000000-0010-0000-0000-00000E000000}" name="Decisión huma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spositivos" displayName="tblDispositivos" ref="A4:AD107" totalsRowShown="0">
  <tableColumns count="30">
    <tableColumn id="1" xr3:uid="{00000000-0010-0000-0100-000001000000}" name="ID Dispositivo"/>
    <tableColumn id="2" xr3:uid="{00000000-0010-0000-0100-000002000000}" name="Device ID DSS"/>
    <tableColumn id="3" xr3:uid="{00000000-0010-0000-0100-000003000000}" name="Código SIIS"/>
    <tableColumn id="4" xr3:uid="{00000000-0010-0000-0100-000004000000}" name="Punto origen"/>
    <tableColumn id="5" xr3:uid="{00000000-0010-0000-0100-000005000000}" name="Nombre DSS"/>
    <tableColumn id="6" xr3:uid="{00000000-0010-0000-0100-000006000000}" name="Zona"/>
    <tableColumn id="7" xr3:uid="{00000000-0010-0000-0100-000007000000}" name="Tipo activo"/>
    <tableColumn id="8" xr3:uid="{00000000-0010-0000-0100-000008000000}" name="Tipo DSS"/>
    <tableColumn id="9" xr3:uid="{00000000-0010-0000-0100-000009000000}" name="Fabricante"/>
    <tableColumn id="10" xr3:uid="{00000000-0010-0000-0100-00000A000000}" name="Modelo"/>
    <tableColumn id="11" xr3:uid="{00000000-0010-0000-0100-00000B000000}" name="Fuente modelo"/>
    <tableColumn id="12" xr3:uid="{00000000-0010-0000-0100-00000C000000}" name="Tecnología"/>
    <tableColumn id="13" xr3:uid="{00000000-0010-0000-0100-00000D000000}" name="Canales"/>
    <tableColumn id="14" xr3:uid="{00000000-0010-0000-0100-00000E000000}" name="Almacenamiento"/>
    <tableColumn id="15" xr3:uid="{00000000-0010-0000-0100-00000F000000}" name="IP HapLite"/>
    <tableColumn id="16" xr3:uid="{00000000-0010-0000-0100-000010000000}" name="Red secundaria"/>
    <tableColumn id="17" xr3:uid="{00000000-0010-0000-0100-000011000000}" name="Red CCTV"/>
    <tableColumn id="18" xr3:uid="{00000000-0010-0000-0100-000012000000}" name="Red WiFi"/>
    <tableColumn id="19" xr3:uid="{00000000-0010-0000-0100-000013000000}" name="NAT"/>
    <tableColumn id="20" xr3:uid="{00000000-0010-0000-0100-000014000000}" name="Puerto"/>
    <tableColumn id="21" xr3:uid="{00000000-0010-0000-0100-000015000000}" name="IP dispositivo / grabador"/>
    <tableColumn id="22" xr3:uid="{00000000-0010-0000-0100-000016000000}" name="Organización DSS"/>
    <tableColumn id="23" xr3:uid="{00000000-0010-0000-0100-000017000000}" name="Captura evidencia"/>
    <tableColumn id="24" xr3:uid="{00000000-0010-0000-0100-000018000000}" name="Firmware"/>
    <tableColumn id="25" xr3:uid="{00000000-0010-0000-0100-000019000000}" name="Alarma"/>
    <tableColumn id="26" xr3:uid="{00000000-0010-0000-0100-00001A000000}" name="Monitoreo"/>
    <tableColumn id="27" xr3:uid="{00000000-0010-0000-0100-00001B000000}" name="Analítica"/>
    <tableColumn id="28" xr3:uid="{00000000-0010-0000-0100-00001C000000}" name="Ciclo de vida"/>
    <tableColumn id="29" xr3:uid="{00000000-0010-0000-0100-00001D000000}" name="Calidad"/>
    <tableColumn id="30" xr3:uid="{00000000-0010-0000-0100-00001E000000}" name="Fila 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ssDispositivos" displayName="tblDssDispositivos" ref="A4:O115" totalsRowShown="0">
  <tableColumns count="15">
    <tableColumn id="1" xr3:uid="{00000000-0010-0000-0200-000001000000}" name="Device ID DSS"/>
    <tableColumn id="2" xr3:uid="{00000000-0010-0000-0200-000002000000}" name="Nombre DSS"/>
    <tableColumn id="3" xr3:uid="{00000000-0010-0000-0200-000003000000}" name="Categoría"/>
    <tableColumn id="4" xr3:uid="{00000000-0010-0000-0200-000004000000}" name="Tipo DSS"/>
    <tableColumn id="5" xr3:uid="{00000000-0010-0000-0200-000005000000}" name="Modelo"/>
    <tableColumn id="6" xr3:uid="{00000000-0010-0000-0200-000006000000}" name="IP / registro"/>
    <tableColumn id="7" xr3:uid="{00000000-0010-0000-0200-000007000000}" name="Puerto"/>
    <tableColumn id="8" xr3:uid="{00000000-0010-0000-0200-000008000000}" name="Organización DSS"/>
    <tableColumn id="9" xr3:uid="{00000000-0010-0000-0200-000009000000}" name="Zona derivada"/>
    <tableColumn id="10" xr3:uid="{00000000-0010-0000-0200-00000A000000}" name="Servidor DSS"/>
    <tableColumn id="11" xr3:uid="{00000000-0010-0000-0200-00000B000000}" name="Fuente modelo"/>
    <tableColumn id="12" xr3:uid="{00000000-0010-0000-0200-00000C000000}" name="Captura evidencia"/>
    <tableColumn id="13" xr3:uid="{00000000-0010-0000-0200-00000D000000}" name="Método conciliación"/>
    <tableColumn id="14" xr3:uid="{00000000-0010-0000-0200-00000E000000}" name="Confianza"/>
    <tableColumn id="15" xr3:uid="{00000000-0010-0000-0200-00000F000000}" name="Fila export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larmas" displayName="tblAlarmas" ref="A4:M21" totalsRowShown="0">
  <tableColumns count="13">
    <tableColumn id="1" xr3:uid="{00000000-0010-0000-0300-000001000000}" name="ID Alarma"/>
    <tableColumn id="2" xr3:uid="{00000000-0010-0000-0300-000002000000}" name="Código SIIS"/>
    <tableColumn id="3" xr3:uid="{00000000-0010-0000-0300-000003000000}" name="Punto"/>
    <tableColumn id="4" xr3:uid="{00000000-0010-0000-0300-000004000000}" name="IP"/>
    <tableColumn id="5" xr3:uid="{00000000-0010-0000-0300-000005000000}" name="Máscara"/>
    <tableColumn id="6" xr3:uid="{00000000-0010-0000-0300-000006000000}" name="Gateway"/>
    <tableColumn id="7" xr3:uid="{00000000-0010-0000-0300-000007000000}" name="Cuenta"/>
    <tableColumn id="8" xr3:uid="{00000000-0010-0000-0300-000008000000}" name="Tipo panel"/>
    <tableColumn id="9" xr3:uid="{00000000-0010-0000-0300-000009000000}" name="Firmware"/>
    <tableColumn id="10" xr3:uid="{00000000-0010-0000-0300-00000A000000}" name="Serial"/>
    <tableColumn id="11" xr3:uid="{00000000-0010-0000-0300-00000B000000}" name="ID Panel"/>
    <tableColumn id="12" xr3:uid="{00000000-0010-0000-0300-00000C000000}" name="Estado comunicación"/>
    <tableColumn id="13" xr3:uid="{00000000-0010-0000-0300-00000D000000}" name="Fila 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Vehiculos" displayName="tblVehiculos" ref="A4:M11" totalsRowShown="0">
  <tableColumns count="13">
    <tableColumn id="1" xr3:uid="{00000000-0010-0000-0400-000001000000}" name="ID Vehículo"/>
    <tableColumn id="2" xr3:uid="{00000000-0010-0000-0400-000002000000}" name="Placa"/>
    <tableColumn id="3" xr3:uid="{00000000-0010-0000-0400-000003000000}" name="Marca"/>
    <tableColumn id="4" xr3:uid="{00000000-0010-0000-0400-000004000000}" name="Línea"/>
    <tableColumn id="5" xr3:uid="{00000000-0010-0000-0400-000005000000}" name="Modelo año"/>
    <tableColumn id="6" xr3:uid="{00000000-0010-0000-0400-000006000000}" name="Cilindraje"/>
    <tableColumn id="7" xr3:uid="{00000000-0010-0000-0400-000007000000}" name="Descripción CCTV/MVR"/>
    <tableColumn id="8" xr3:uid="{00000000-0010-0000-0400-000008000000}" name="Serial"/>
    <tableColumn id="9" xr3:uid="{00000000-0010-0000-0400-000009000000}" name="ID GPRS"/>
    <tableColumn id="10" xr3:uid="{00000000-0010-0000-0400-00000A000000}" name="Referencia SIM"/>
    <tableColumn id="11" xr3:uid="{00000000-0010-0000-0400-00000B000000}" name="Operador"/>
    <tableColumn id="12" xr3:uid="{00000000-0010-0000-0400-00000C000000}" name="Notas"/>
    <tableColumn id="13" xr3:uid="{00000000-0010-0000-0400-00000D000000}" name="Fila 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oyecto" displayName="tblProyecto" ref="A4:P118" totalsRowShown="0">
  <tableColumns count="16">
    <tableColumn id="1" xr3:uid="{00000000-0010-0000-0500-000001000000}" name="ID Proyecto"/>
    <tableColumn id="2" xr3:uid="{00000000-0010-0000-0500-000002000000}" name="Línea de trabajo"/>
    <tableColumn id="3" xr3:uid="{00000000-0010-0000-0500-000003000000}" name="Punto objetivo"/>
    <tableColumn id="4" xr3:uid="{00000000-0010-0000-0500-000004000000}" name="Código SIIS"/>
    <tableColumn id="5" xr3:uid="{00000000-0010-0000-0500-000005000000}" name="Alcance/traslado"/>
    <tableColumn id="6" xr3:uid="{00000000-0010-0000-0500-000006000000}" name="Tecnología objetivo"/>
    <tableColumn id="7" xr3:uid="{00000000-0010-0000-0500-000007000000}" name="Modelo planeado"/>
    <tableColumn id="8" xr3:uid="{00000000-0010-0000-0500-000008000000}" name="Inversión"/>
    <tableColumn id="9" xr3:uid="{00000000-0010-0000-0500-000009000000}" name="Estado"/>
    <tableColumn id="10" xr3:uid="{00000000-0010-0000-0500-00000A000000}" name="Avance %"/>
    <tableColumn id="11" xr3:uid="{00000000-0010-0000-0500-00000B000000}" name="Fecha planeada"/>
    <tableColumn id="12" xr3:uid="{00000000-0010-0000-0500-00000C000000}" name="Fecha implementación"/>
    <tableColumn id="13" xr3:uid="{00000000-0010-0000-0500-00000D000000}" name="Color fuente"/>
    <tableColumn id="14" xr3:uid="{00000000-0010-0000-0500-00000E000000}" name="Celda fuente"/>
    <tableColumn id="15" xr3:uid="{00000000-0010-0000-0500-00000F000000}" name="Responsable"/>
    <tableColumn id="16" xr3:uid="{00000000-0010-0000-0500-000010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alidad" displayName="tblCalidad" ref="A4:H130" totalsRowShown="0">
  <tableColumns count="8">
    <tableColumn id="1" xr3:uid="{00000000-0010-0000-0600-000001000000}" name="ID Hallazgo"/>
    <tableColumn id="2" xr3:uid="{00000000-0010-0000-0600-000002000000}" name="Entidad"/>
    <tableColumn id="3" xr3:uid="{00000000-0010-0000-0600-000003000000}" name="ID registro"/>
    <tableColumn id="4" xr3:uid="{00000000-0010-0000-0600-000004000000}" name="Punto"/>
    <tableColumn id="5" xr3:uid="{00000000-0010-0000-0600-000005000000}" name="Hallazgo"/>
    <tableColumn id="6" xr3:uid="{00000000-0010-0000-0600-000006000000}" name="Prioridad"/>
    <tableColumn id="7" xr3:uid="{00000000-0010-0000-0600-000007000000}" name="Estado"/>
    <tableColumn id="8" xr3:uid="{00000000-0010-0000-0600-000008000000}" name="Acción recomend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7-18T14:51:22.97" personId="{6511D155-F791-492A-92E5-7D6992FB2C6D}" id="{FDEC246B-18BB-46AE-929E-966A8DF2660B}">
    <text>NVR EI, DD 4TB, Switch POE, 1 Cam3441RP, 1 Cam 2441 EP SMD, UPS, REGULADOR Y RACK</text>
  </threadedComment>
  <threadedComment ref="G4" dT="2025-07-18T16:10:47.06" personId="{6511D155-F791-492A-92E5-7D6992FB2C6D}" id="{04E453D5-E3F8-4DCA-A1AF-4C5CBD8AFF9C}">
    <text>Cámara IA detección de rostros, UPS y Rack</text>
  </threadedComment>
  <threadedComment ref="C5" dT="2025-07-29T13:25:46.31" personId="{6511D155-F791-492A-92E5-7D6992FB2C6D}" id="{97DBDFBD-D912-4489-AB07-85AB1C74E451}">
    <text>Se instalaron los equipos retirados del punto Mercedes I</text>
  </threadedComment>
  <threadedComment ref="D5" dT="2025-07-18T14:51:22.97" personId="{6511D155-F791-492A-92E5-7D6992FB2C6D}" id="{5E4C55AF-F39D-47FB-A294-AA4594BE0A4E}">
    <text>NVR EI, DD 4TB, Switch POE, 1 Cam3441RP, 1 Cam 2441 EP SMD, UPS, REGULADOR Y RACK</text>
  </threadedComment>
  <threadedComment ref="G5" dT="2025-07-18T16:10:47.06" personId="{6511D155-F791-492A-92E5-7D6992FB2C6D}" id="{B9B3291A-508D-4297-B539-C09A647D54B1}">
    <text>Cámara IA detección de rostros, UPS y Rack</text>
  </threadedComment>
  <threadedComment ref="C6" dT="2025-10-03T13:35:02.46" personId="{6511D155-F791-492A-92E5-7D6992FB2C6D}" id="{595B6062-D7AB-476D-8337-AC00BB8AD14C}">
    <text>Se instaló con los equipos desmontados del punto Droguería Prado</text>
  </threadedComment>
  <threadedComment ref="D6" dT="2025-07-18T14:51:22.97" personId="{6511D155-F791-492A-92E5-7D6992FB2C6D}" id="{7F348075-5AB6-421E-89DE-3C5AB197D2C9}">
    <text>NVR EI, DD 4TB, Switch POE, 1 Cam3441RP, 1 Cam 2441 EP SMD, UPS, REGULADOR Y RACK</text>
  </threadedComment>
  <threadedComment ref="G6" dT="2025-07-18T16:10:47.06" personId="{6511D155-F791-492A-92E5-7D6992FB2C6D}" id="{3B62336A-263D-4BB4-A514-FD1BFD6558C0}">
    <text>Cámara IA detección de rostros, UPS y Rack</text>
  </threadedComment>
  <threadedComment ref="B7" dT="2025-09-09T13:42:45.05" personId="{6511D155-F791-492A-92E5-7D6992FB2C6D}" id="{EE1A7334-EA05-4E35-9128-69CB2772E078}">
    <text>Se realizó instalación de CCTV con IA</text>
  </threadedComment>
  <threadedComment ref="D7" dT="2025-07-18T14:51:22.97" personId="{6511D155-F791-492A-92E5-7D6992FB2C6D}" id="{3A24360C-DB2D-4CAF-B25F-55C99BC0CDEB}">
    <text>NVR EI, DD 4TB, Switch POE, 1 Cam3441RP, 1 Cam 2441 EP SMD, UPS, REGULADOR Y RACK</text>
  </threadedComment>
  <threadedComment ref="G7" dT="2025-07-18T16:10:47.06" personId="{6511D155-F791-492A-92E5-7D6992FB2C6D}" id="{83A1A6A5-12CA-4170-830A-0DCC3743E7AA}">
    <text>Cámara IA SMD, UPS y Rack</text>
  </threadedComment>
  <threadedComment ref="D8" dT="2025-07-18T14:51:22.97" personId="{6511D155-F791-492A-92E5-7D6992FB2C6D}" id="{77E876C5-5B17-46CB-ADB4-26935E438405}">
    <text>NVR EI, DD 4TB, Switch POE, 1 Cam3441RP, 1 Cam 2441 EP SMD, UPS, REGULADOR Y RACK</text>
  </threadedComment>
  <threadedComment ref="G8" dT="2025-07-18T16:10:47.06" personId="{6511D155-F791-492A-92E5-7D6992FB2C6D}" id="{8FDA1A0E-A01C-4E2E-A90B-1621A89C972E}">
    <text>Cámara IA detección de rostros, UPS y Rack</text>
  </threadedComment>
  <threadedComment ref="D9" dT="2025-07-18T14:51:22.97" personId="{6511D155-F791-492A-92E5-7D6992FB2C6D}" id="{1E2BF0D5-3424-42F8-9DD1-2CCB6A1F3C65}">
    <text>NVR EI, DD 4TB, Switch POE, 1 Cam3441RP, 1 Cam 2441 EP SMD, UPS, REGULADOR Y RACK</text>
  </threadedComment>
  <threadedComment ref="G9" dT="2025-07-18T16:10:47.06" personId="{6511D155-F791-492A-92E5-7D6992FB2C6D}" id="{F408BB7F-D8A0-4677-B837-63EF7BE05293}">
    <text>Cámara IA SMD, UPS y Rack</text>
  </threadedComment>
  <threadedComment ref="D10" dT="2025-07-18T14:51:22.97" personId="{6511D155-F791-492A-92E5-7D6992FB2C6D}" id="{231DCF84-8481-4D33-A817-1A58CD1394E3}">
    <text>NVR EI, DD 4TB, Switch POE, 1 Cam3441RP, 1 Cam 2441 EP SMD, UPS, REGULADOR Y RACK</text>
  </threadedComment>
  <threadedComment ref="G10" dT="2025-07-18T16:10:47.06" personId="{6511D155-F791-492A-92E5-7D6992FB2C6D}" id="{A56338A6-D059-4985-A78E-FA6CDEA9E5A8}">
    <text>Cámara IA detección de rostros, UPS y Rack</text>
  </threadedComment>
  <threadedComment ref="D11" dT="2025-07-18T14:51:22.97" personId="{6511D155-F791-492A-92E5-7D6992FB2C6D}" id="{8A264A1D-8BEB-419B-A1CE-E0EBFE873C1E}">
    <text>NVR EI, DD 4TB, Switch POE, 4 Cam 2441 EP SMD, UPS, REGULADOR Y RACK</text>
  </threadedComment>
  <threadedComment ref="G11" dT="2025-07-18T16:10:47.06" personId="{6511D155-F791-492A-92E5-7D6992FB2C6D}" id="{E2A3FB98-3946-44EC-A47A-32F223422924}">
    <text>Cámara IA detección de rostros, UPS y Rack</text>
  </threadedComment>
  <threadedComment ref="D12" dT="2025-07-18T14:51:22.97" personId="{6511D155-F791-492A-92E5-7D6992FB2C6D}" id="{DCCDAF73-943F-4F35-B277-6C3578C82F54}">
    <text>NVR EI, DD 4TB, Switch POE, 1 Cam3441RP, 1 Cam 2441 EP SMD, UPS, REGULADOR Y RACK</text>
  </threadedComment>
  <threadedComment ref="G12" dT="2025-07-18T16:10:47.06" personId="{6511D155-F791-492A-92E5-7D6992FB2C6D}" id="{7984C904-BC48-4966-AD43-D39F1F59CA41}">
    <text>Cámara IA detección de rostros, UPS y Rack</text>
  </threadedComment>
  <threadedComment ref="D13" dT="2025-07-18T14:51:22.97" personId="{6511D155-F791-492A-92E5-7D6992FB2C6D}" id="{89F02A67-2D4A-44A5-9DAC-E865FF5BCE7C}">
    <text>NVR EI, DD 4TB, Switch POE, 1 Cam3441RP, 1 Cam 2441 EP SMD, UPS, REGULADOR Y RACK</text>
  </threadedComment>
  <threadedComment ref="G13" dT="2025-07-18T16:10:47.06" personId="{6511D155-F791-492A-92E5-7D6992FB2C6D}" id="{960BEE91-1E84-4B06-81D6-3A15290DC610}">
    <text>Cámara IA SMD, UPS y Rack</text>
  </threadedComment>
  <threadedComment ref="D14" dT="2025-07-18T14:51:22.97" personId="{6511D155-F791-492A-92E5-7D6992FB2C6D}" id="{B36B0D66-A116-4936-A54E-F29C1193679D}">
    <text>NVR EI, DD 4TB, Switch POE, 1 Cam3441RP, 1 Cam 2441 EP SMD, UPS, REGULADOR Y RACK</text>
  </threadedComment>
  <threadedComment ref="G14" dT="2025-07-18T16:10:47.06" personId="{6511D155-F791-492A-92E5-7D6992FB2C6D}" id="{5580D3AD-AF41-42D0-AFC5-25377B36D095}">
    <text>Cámara IA SMD, UPS y Rack</text>
  </threadedComment>
  <threadedComment ref="D15" dT="2025-07-18T14:51:22.97" personId="{6511D155-F791-492A-92E5-7D6992FB2C6D}" id="{517D4138-D9A4-470B-9999-2EA2E04F11B3}">
    <text>NVR EI, Switch POE, 1 Cam3441RP, 1 Cam 2441 EP SMD</text>
  </threadedComment>
  <threadedComment ref="G15" dT="2025-07-18T16:10:47.06" personId="{6511D155-F791-492A-92E5-7D6992FB2C6D}" id="{F442DD85-ADBC-442A-8683-C20486CA9B89}">
    <text>Cámara IA SMD, UPS y Rack</text>
  </threadedComment>
  <threadedComment ref="D16" dT="2025-07-18T14:51:22.97" personId="{6511D155-F791-492A-92E5-7D6992FB2C6D}" id="{760C5696-0965-4546-993C-4CC8F70FD95E}">
    <text>NVR EI, Switch POE, 1 Cam3441RP, 1 Cam 2441 EP SMD</text>
  </threadedComment>
  <threadedComment ref="G16" dT="2025-07-18T16:10:47.06" personId="{6511D155-F791-492A-92E5-7D6992FB2C6D}" id="{47F6A378-EF54-45C6-A399-6EDACAB72F47}">
    <text>Cámara IA SMD, UPS y Rack</text>
  </threadedComment>
  <threadedComment ref="D17" dT="2025-07-18T14:51:22.97" personId="{6511D155-F791-492A-92E5-7D6992FB2C6D}" id="{9B139033-F3F6-49A7-8D31-5F8326A31140}">
    <text>NVR EI, DD 4TB, Switch POE, 1 Cam3441RP, 1 Cam 2441 EP SMD, UPS, REGULADOR Y RACK</text>
  </threadedComment>
  <threadedComment ref="G17" dT="2025-07-18T16:10:47.06" personId="{6511D155-F791-492A-92E5-7D6992FB2C6D}" id="{C686A18B-3E15-400B-8A6C-E147D218230D}">
    <text>Cámara IA SMD, UPS y Rack</text>
  </threadedComment>
  <threadedComment ref="D18" dT="2025-07-18T14:51:22.97" personId="{6511D155-F791-492A-92E5-7D6992FB2C6D}" id="{F628022A-8384-49F6-AD65-B42713F0260D}">
    <text>NVR EI, Switch POE, 1 Cam3441RP, 1 Cam 2441 EP SMD</text>
  </threadedComment>
  <threadedComment ref="G18" dT="2025-07-18T16:10:47.06" personId="{6511D155-F791-492A-92E5-7D6992FB2C6D}" id="{F741F470-3E67-4133-B119-0575ADBB34B5}">
    <text>Cámara IA SMD, UPS y Rack</text>
  </threadedComment>
  <threadedComment ref="C19" dT="2025-09-15T20:19:35.01" personId="{6511D155-F791-492A-92E5-7D6992FB2C6D}" id="{93A7F511-C378-4502-B0E8-ADEDC989BEF0}">
    <text>Se instalaron los equipos desmontados del punto 19 con 37</text>
  </threadedComment>
  <threadedComment ref="D19" dT="2025-07-18T14:51:22.97" personId="{6511D155-F791-492A-92E5-7D6992FB2C6D}" id="{7C72A915-77BD-43EA-B48F-4BDCBEB1C542}">
    <text>NVR EI, DD 4TB, Switch POE, 1 Cam3441RP, 1 Cam 2441 EP SMD, UPS, REGULADOR Y RACK</text>
  </threadedComment>
  <threadedComment ref="D20" dT="2025-07-18T14:51:22.97" personId="{6511D155-F791-492A-92E5-7D6992FB2C6D}" id="{E49C69CB-9F5D-4A58-B50D-6065DA1AA7B0}">
    <text>NVR EI, Switch POE, 1 Cam3441RP, 1 Cam 2441 EP SMD</text>
  </threadedComment>
  <threadedComment ref="G20" dT="2025-07-18T16:10:47.06" personId="{6511D155-F791-492A-92E5-7D6992FB2C6D}" id="{510918D6-51C5-43FA-BC34-022A6325C8A2}">
    <text>Cámara IA detección de rostros, UPS y Rack</text>
  </threadedComment>
  <threadedComment ref="D22" dT="2025-07-18T14:51:22.97" personId="{6511D155-F791-492A-92E5-7D6992FB2C6D}" id="{6C7B6C1F-3965-4142-BF16-D475693ED5A9}">
    <text>NVR EI, DD 4TB, Switch POE, 1 Cam3441RP, 1 Cam 2441 EP SMD, UPS, REGULADOR Y RACK</text>
  </threadedComment>
  <threadedComment ref="G22" dT="2025-07-18T16:10:47.06" personId="{6511D155-F791-492A-92E5-7D6992FB2C6D}" id="{8E3820DE-ABCE-4FE3-95A1-C1DB0B92DB7A}">
    <text>Cámara IA detección de rostros, UPS y Rack</text>
  </threadedComment>
  <threadedComment ref="D24" dT="2025-07-18T14:51:22.97" personId="{6511D155-F791-492A-92E5-7D6992FB2C6D}" id="{C4FC9099-1268-4570-906C-44FF417FE06F}">
    <text>NVR EI, Switch POE, 4 Cam 2441 EP</text>
  </threadedComment>
  <threadedComment ref="G24" dT="2025-07-18T16:10:47.06" personId="{6511D155-F791-492A-92E5-7D6992FB2C6D}" id="{C892BD64-99B7-4815-A225-0580046B4928}">
    <text>Cámara IA SMD, UPS y Rack</text>
  </threadedComment>
  <threadedComment ref="D26" dT="2025-07-18T14:51:22.97" personId="{6511D155-F791-492A-92E5-7D6992FB2C6D}" id="{A839703F-D33C-4271-827A-DB08ADB0910C}">
    <text>NVR EI, Switch POE, 8 Cam 2441 EP</text>
  </threadedComment>
  <threadedComment ref="G26" dT="2025-07-18T16:10:47.06" personId="{6511D155-F791-492A-92E5-7D6992FB2C6D}" id="{0A46F162-2667-4495-B0AB-7FE5B2F9B545}">
    <text>Cámara IA SMD, UPS y Rack</text>
  </threadedComment>
  <threadedComment ref="D27" dT="2025-07-18T14:51:22.97" personId="{6511D155-F791-492A-92E5-7D6992FB2C6D}" id="{9719EFF6-4708-4AB2-BA67-D8267B66E5E5}">
    <text>NVR EI, DD 4TB, Switch POE, 1 Cam3441RP, 1 Cam 2441 EP SMD, UPS, REGULADOR Y RACK</text>
  </threadedComment>
  <threadedComment ref="G27" dT="2025-07-18T16:10:47.06" personId="{6511D155-F791-492A-92E5-7D6992FB2C6D}" id="{CBA1DD29-825C-4396-AE0D-4D4207A903FE}">
    <text>Cámara IA SMD, UPS y Rack</text>
  </threadedComment>
  <threadedComment ref="D29" dT="2025-07-18T14:51:22.97" personId="{6511D155-F791-492A-92E5-7D6992FB2C6D}" id="{3AA265A2-38DC-4728-86E4-64B27C8CFD63}">
    <text>NVR EI</text>
  </threadedComment>
  <threadedComment ref="G29" dT="2025-07-18T16:10:47.06" personId="{6511D155-F791-492A-92E5-7D6992FB2C6D}" id="{C5C2D776-0C9A-48EA-A7D5-DF4DE72249A3}">
    <text>Cámara IA SMD, UPS y Rack</text>
  </threadedComment>
  <threadedComment ref="G30" dT="2025-07-18T16:10:47.06" personId="{6511D155-F791-492A-92E5-7D6992FB2C6D}" id="{212C2C0A-FE35-4B46-B942-39723C080E81}">
    <text>Cámara IA SMD, UPS y Rack</text>
  </threadedComment>
  <threadedComment ref="D31" dT="2025-07-18T14:51:22.97" personId="{6511D155-F791-492A-92E5-7D6992FB2C6D}" id="{4B5F5FFE-372D-42CA-A6DF-9E9C3C232AE2}">
    <text>NVR EI, Switch POE, 8 Cam 2441 EP</text>
  </threadedComment>
  <threadedComment ref="D32" dT="2025-07-18T14:51:22.97" personId="{6511D155-F791-492A-92E5-7D6992FB2C6D}" id="{69DDC1A4-B779-4662-A096-A3A2EEAD50CA}">
    <text>NVR EI, DD 4TB, Switch POE, 1 Cam3441RP, 2 Cam 2441 EP SMD, UPS, REGULADOR</text>
  </threadedComment>
  <threadedComment ref="G32" dT="2025-07-18T16:10:47.06" personId="{6511D155-F791-492A-92E5-7D6992FB2C6D}" id="{484480BB-6180-424F-8C5E-A4CA24CE56ED}">
    <text>Cámara IA SMD, UPS y Rack</text>
  </threadedComment>
  <threadedComment ref="D33" dT="2025-07-18T14:51:22.97" personId="{6511D155-F791-492A-92E5-7D6992FB2C6D}" id="{0A4C8231-CED0-40E9-B3D4-FF85FC32D676}">
    <text>NVR EI, DD 4TB, Switch POE, 1 Cam3441RP, 1 Cam 2441 EP SMD, UPS, REGULADOR Y RACK</text>
  </threadedComment>
  <threadedComment ref="G34" dT="2025-07-18T16:10:47.06" personId="{6511D155-F791-492A-92E5-7D6992FB2C6D}" id="{2E6AF32D-AF79-4E21-9B2A-A040D988594E}">
    <text>Cámara IA SMD, UPS y Rack</text>
  </threadedComment>
  <threadedComment ref="D35" dT="2025-07-18T14:51:22.97" personId="{6511D155-F791-492A-92E5-7D6992FB2C6D}" id="{A4728F5F-03EE-42D4-B49A-1F18AB8C6E78}">
    <text>NVR EI, Switch POE, 10 Cam 2441 EP</text>
  </threadedComment>
  <threadedComment ref="D36" dT="2025-07-18T14:51:22.97" personId="{6511D155-F791-492A-92E5-7D6992FB2C6D}" id="{9573AEF6-040F-49CE-A088-EF91ACBADE43}">
    <text>NVR EI, DD 4TB, Switch POE, 1 Cam3441RP, 1 Cam 2441 EP SMD, UPS, REGULADOR Y RACK</text>
  </threadedComment>
  <threadedComment ref="D37" dT="2025-07-18T14:51:22.97" personId="{6511D155-F791-492A-92E5-7D6992FB2C6D}" id="{FBEBBF1F-BDA9-4858-9662-E9119C4F2FE0}">
    <text>NVR EI, DD 4TB, Switch POE, 1 Cam3441RP, 1 Cam 2441 EP SMD, UPS, REGULADOR Y RACK</text>
  </threadedComment>
  <threadedComment ref="D38" dT="2025-07-18T14:51:22.97" personId="{6511D155-F791-492A-92E5-7D6992FB2C6D}" id="{9BAA599A-9750-4707-BC57-81AAC128B47B}">
    <text>NVR EI, DD 4TB, Switch POE, 1 Cam3441RP, 1 Cam 2441 EP SMD, UPS, REGULADOR Y RACK</text>
  </threadedComment>
  <threadedComment ref="D39" dT="2025-07-18T14:51:22.97" personId="{6511D155-F791-492A-92E5-7D6992FB2C6D}" id="{204B8276-5DA1-4B3F-9466-4B0B72A9EF60}">
    <text>NVR EI, DD 4TB, Switch POE, 1 Cam3441RP, 1 Cam 2441 EP SMD, UPS, REGULADOR Y RACK</text>
  </threadedComment>
  <threadedComment ref="D41" dT="2025-07-18T16:10:47.06" personId="{6511D155-F791-492A-92E5-7D6992FB2C6D}" id="{14B77673-0E9A-481C-B34A-98FD5E99B784}">
    <text>Cámara IA, UPS y Rack</text>
  </threadedComment>
  <threadedComment ref="D42" dT="2025-07-18T14:51:22.97" personId="{6511D155-F791-492A-92E5-7D6992FB2C6D}" id="{BE19E7EB-F6AA-43F3-9CE6-C5D7CBD05D07}">
    <text>NVR EI, DD 4TB, Switch POE, 1 Cam3441RP, 1 Cam 2441 EP SMD, UPS, REGULADOR Y RACK</text>
  </threadedComment>
  <threadedComment ref="D43" dT="2025-07-18T14:51:22.97" personId="{6511D155-F791-492A-92E5-7D6992FB2C6D}" id="{5A41B4F3-EDE6-4D25-AFE0-EE1C4C43FE11}">
    <text>NVR EI</text>
  </threadedComment>
  <threadedComment ref="D44" dT="2025-07-18T14:51:22.97" personId="{6511D155-F791-492A-92E5-7D6992FB2C6D}" id="{31BB96DE-E4C0-43E6-AD09-613BEAD2885B}">
    <text>NVR EI, DD 4TB, Switch POE, 1 Cam3441RP, 1 Cam 2441 EP SMD, UPS, REGULADOR Y RACK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9"/>
  <sheetViews>
    <sheetView topLeftCell="C32" workbookViewId="0">
      <selection activeCell="F50" sqref="F50:I50"/>
    </sheetView>
  </sheetViews>
  <sheetFormatPr baseColWidth="10" defaultRowHeight="15"/>
  <cols>
    <col min="1" max="1" width="5.85546875" customWidth="1"/>
    <col min="2" max="2" width="36.42578125" customWidth="1"/>
    <col min="3" max="3" width="37.7109375" customWidth="1"/>
    <col min="4" max="4" width="11.5703125" customWidth="1"/>
    <col min="6" max="6" width="28.5703125" customWidth="1"/>
    <col min="7" max="7" width="11.5703125" customWidth="1"/>
    <col min="8" max="8" width="11.85546875" customWidth="1"/>
    <col min="9" max="9" width="11.7109375" customWidth="1"/>
    <col min="10" max="10" width="40.7109375" customWidth="1"/>
    <col min="11" max="11" width="17.5703125" customWidth="1"/>
  </cols>
  <sheetData>
    <row r="2" spans="2:11" ht="15.75">
      <c r="B2" s="1" t="s">
        <v>0</v>
      </c>
      <c r="C2" s="2" t="s">
        <v>1</v>
      </c>
      <c r="D2" s="3" t="s">
        <v>2</v>
      </c>
      <c r="F2" s="1" t="s">
        <v>3</v>
      </c>
      <c r="G2" s="3" t="s">
        <v>2</v>
      </c>
      <c r="I2" s="4" t="s">
        <v>4</v>
      </c>
      <c r="J2" s="5" t="s">
        <v>5</v>
      </c>
      <c r="K2" s="6" t="s">
        <v>2</v>
      </c>
    </row>
    <row r="3" spans="2:11" ht="15.75">
      <c r="B3" s="394" t="s">
        <v>6</v>
      </c>
      <c r="C3" s="395"/>
      <c r="D3" s="396"/>
      <c r="F3" s="394" t="s">
        <v>6</v>
      </c>
      <c r="G3" s="396"/>
      <c r="I3" s="7">
        <v>31</v>
      </c>
      <c r="J3" t="s">
        <v>6</v>
      </c>
      <c r="K3" s="8">
        <v>61818934</v>
      </c>
    </row>
    <row r="4" spans="2:11">
      <c r="B4" s="9" t="s">
        <v>7</v>
      </c>
      <c r="C4" s="10" t="s">
        <v>8</v>
      </c>
      <c r="D4" s="11">
        <v>3482996</v>
      </c>
      <c r="F4" s="12" t="s">
        <v>9</v>
      </c>
      <c r="G4" s="13">
        <v>1982000</v>
      </c>
      <c r="I4" s="7">
        <v>1</v>
      </c>
      <c r="J4" t="s">
        <v>10</v>
      </c>
      <c r="K4" s="8">
        <v>6158000</v>
      </c>
    </row>
    <row r="5" spans="2:11">
      <c r="B5" s="14" t="s">
        <v>11</v>
      </c>
      <c r="C5" s="15" t="s">
        <v>12</v>
      </c>
      <c r="D5" s="11">
        <v>3482996</v>
      </c>
      <c r="F5" s="16" t="s">
        <v>13</v>
      </c>
      <c r="G5" s="11">
        <v>1982000</v>
      </c>
      <c r="I5" s="7">
        <v>3</v>
      </c>
      <c r="J5" t="s">
        <v>14</v>
      </c>
      <c r="K5" s="8">
        <v>10966996</v>
      </c>
    </row>
    <row r="6" spans="2:11">
      <c r="B6" s="14" t="s">
        <v>15</v>
      </c>
      <c r="C6" s="15" t="s">
        <v>16</v>
      </c>
      <c r="D6" s="11">
        <v>3482996</v>
      </c>
      <c r="F6" s="16" t="s">
        <v>17</v>
      </c>
      <c r="G6" s="11">
        <v>1982000</v>
      </c>
      <c r="I6" s="7">
        <v>1</v>
      </c>
      <c r="J6" t="s">
        <v>18</v>
      </c>
      <c r="K6" s="8">
        <v>4154000</v>
      </c>
    </row>
    <row r="7" spans="2:11">
      <c r="B7" s="14" t="s">
        <v>19</v>
      </c>
      <c r="C7" s="17"/>
      <c r="D7" s="11">
        <v>3482996</v>
      </c>
      <c r="F7" s="16" t="s">
        <v>20</v>
      </c>
      <c r="G7" s="11">
        <v>1162000</v>
      </c>
      <c r="I7" s="7">
        <v>4</v>
      </c>
      <c r="J7" t="s">
        <v>21</v>
      </c>
      <c r="K7" s="8">
        <v>14707992</v>
      </c>
    </row>
    <row r="8" spans="2:11">
      <c r="B8" s="14" t="s">
        <v>22</v>
      </c>
      <c r="C8" s="15" t="s">
        <v>23</v>
      </c>
      <c r="D8" s="11">
        <v>3482996</v>
      </c>
      <c r="F8" s="16" t="s">
        <v>24</v>
      </c>
      <c r="G8" s="11">
        <v>1982000</v>
      </c>
      <c r="I8" s="7">
        <v>9</v>
      </c>
      <c r="J8" t="s">
        <v>25</v>
      </c>
      <c r="K8" s="8">
        <v>23015984</v>
      </c>
    </row>
    <row r="9" spans="2:11">
      <c r="B9" s="14" t="s">
        <v>26</v>
      </c>
      <c r="C9" s="15" t="s">
        <v>27</v>
      </c>
      <c r="D9" s="11">
        <v>3482996</v>
      </c>
      <c r="F9" s="16" t="s">
        <v>28</v>
      </c>
      <c r="G9" s="11">
        <v>1162000</v>
      </c>
      <c r="I9" s="7">
        <v>7</v>
      </c>
      <c r="J9" t="s">
        <v>29</v>
      </c>
      <c r="K9" s="8">
        <v>12697992</v>
      </c>
    </row>
    <row r="10" spans="2:11" ht="18.75">
      <c r="B10" s="18" t="s">
        <v>30</v>
      </c>
      <c r="C10" s="15" t="s">
        <v>31</v>
      </c>
      <c r="D10" s="11">
        <v>3482996</v>
      </c>
      <c r="F10" s="18" t="s">
        <v>32</v>
      </c>
      <c r="G10" s="11">
        <v>1982000</v>
      </c>
      <c r="I10" s="19">
        <v>56</v>
      </c>
      <c r="J10" s="20" t="s">
        <v>33</v>
      </c>
      <c r="K10" s="21">
        <v>133519898</v>
      </c>
    </row>
    <row r="11" spans="2:11" ht="18.75">
      <c r="B11" s="14" t="s">
        <v>34</v>
      </c>
      <c r="C11" s="15" t="s">
        <v>35</v>
      </c>
      <c r="D11" s="11">
        <v>3904996</v>
      </c>
      <c r="F11" s="16" t="s">
        <v>36</v>
      </c>
      <c r="G11" s="11">
        <v>1982000</v>
      </c>
      <c r="I11" s="22"/>
      <c r="J11" s="23"/>
      <c r="K11" s="24"/>
    </row>
    <row r="12" spans="2:11">
      <c r="B12" s="14" t="s">
        <v>37</v>
      </c>
      <c r="C12" s="15" t="s">
        <v>38</v>
      </c>
      <c r="D12" s="11">
        <v>3482996</v>
      </c>
      <c r="F12" s="16" t="s">
        <v>39</v>
      </c>
      <c r="G12" s="11">
        <v>1982000</v>
      </c>
    </row>
    <row r="13" spans="2:11">
      <c r="B13" s="18" t="s">
        <v>40</v>
      </c>
      <c r="C13" s="25" t="s">
        <v>41</v>
      </c>
      <c r="D13" s="11">
        <v>3482996</v>
      </c>
      <c r="F13" s="16" t="s">
        <v>42</v>
      </c>
      <c r="G13" s="11">
        <v>1162000</v>
      </c>
    </row>
    <row r="14" spans="2:11">
      <c r="B14" s="14" t="s">
        <v>43</v>
      </c>
      <c r="C14" s="15" t="s">
        <v>44</v>
      </c>
      <c r="D14" s="11">
        <v>3482996</v>
      </c>
      <c r="F14" s="16" t="s">
        <v>45</v>
      </c>
      <c r="G14" s="11">
        <v>1162000</v>
      </c>
      <c r="I14" s="4" t="s">
        <v>4</v>
      </c>
      <c r="J14" s="5" t="s">
        <v>46</v>
      </c>
      <c r="K14" s="6" t="s">
        <v>2</v>
      </c>
    </row>
    <row r="15" spans="2:11">
      <c r="B15" s="16" t="s">
        <v>47</v>
      </c>
      <c r="C15" s="26" t="s">
        <v>48</v>
      </c>
      <c r="D15" s="11">
        <v>2526998</v>
      </c>
      <c r="F15" s="16" t="s">
        <v>49</v>
      </c>
      <c r="G15" s="11">
        <v>1162000</v>
      </c>
      <c r="I15" s="7">
        <v>15</v>
      </c>
      <c r="J15" t="s">
        <v>6</v>
      </c>
      <c r="K15" s="8">
        <v>22008000</v>
      </c>
    </row>
    <row r="16" spans="2:11">
      <c r="B16" s="18" t="s">
        <v>50</v>
      </c>
      <c r="C16" s="26" t="s">
        <v>48</v>
      </c>
      <c r="D16" s="11">
        <v>2526998</v>
      </c>
      <c r="F16" s="16" t="s">
        <v>51</v>
      </c>
      <c r="G16" s="11">
        <v>1162000</v>
      </c>
      <c r="I16" s="7">
        <v>2</v>
      </c>
      <c r="J16" t="s">
        <v>10</v>
      </c>
      <c r="K16" s="8">
        <v>3964000</v>
      </c>
    </row>
    <row r="17" spans="2:11">
      <c r="B17" s="16" t="s">
        <v>52</v>
      </c>
      <c r="C17" s="15" t="s">
        <v>53</v>
      </c>
      <c r="D17" s="11">
        <v>3482996</v>
      </c>
      <c r="F17" s="16" t="s">
        <v>54</v>
      </c>
      <c r="G17" s="11">
        <v>1162000</v>
      </c>
      <c r="I17" s="7">
        <v>1</v>
      </c>
      <c r="J17" t="s">
        <v>14</v>
      </c>
      <c r="K17" s="8">
        <v>1162000</v>
      </c>
    </row>
    <row r="18" spans="2:11">
      <c r="B18" s="16" t="s">
        <v>55</v>
      </c>
      <c r="C18" s="26" t="s">
        <v>48</v>
      </c>
      <c r="D18" s="11">
        <v>2526998</v>
      </c>
      <c r="F18" s="27"/>
      <c r="G18" s="28"/>
      <c r="I18" s="7">
        <v>2</v>
      </c>
      <c r="J18" t="s">
        <v>18</v>
      </c>
      <c r="K18" s="8">
        <v>2324000</v>
      </c>
    </row>
    <row r="19" spans="2:11" ht="15.75">
      <c r="B19" s="16" t="s">
        <v>56</v>
      </c>
      <c r="C19" s="15" t="s">
        <v>57</v>
      </c>
      <c r="D19" s="11">
        <v>3482996</v>
      </c>
      <c r="F19" s="381" t="s">
        <v>10</v>
      </c>
      <c r="G19" s="383"/>
      <c r="I19" s="7">
        <v>2</v>
      </c>
      <c r="J19" t="s">
        <v>21</v>
      </c>
      <c r="K19" s="8">
        <v>2324000</v>
      </c>
    </row>
    <row r="20" spans="2:11">
      <c r="B20" s="16" t="s">
        <v>58</v>
      </c>
      <c r="C20" s="29" t="s">
        <v>59</v>
      </c>
      <c r="D20" s="11">
        <v>2526998</v>
      </c>
      <c r="F20" s="16" t="s">
        <v>60</v>
      </c>
      <c r="G20" s="11">
        <v>1982000</v>
      </c>
      <c r="I20" s="7">
        <v>1</v>
      </c>
      <c r="J20" t="s">
        <v>25</v>
      </c>
      <c r="K20" s="8">
        <v>1162000</v>
      </c>
    </row>
    <row r="21" spans="2:11">
      <c r="B21" s="30" t="s">
        <v>61</v>
      </c>
      <c r="C21" s="31"/>
      <c r="D21" s="11">
        <v>2526998</v>
      </c>
      <c r="F21" s="30"/>
      <c r="G21" s="28"/>
      <c r="I21" s="7">
        <v>1</v>
      </c>
      <c r="J21" t="s">
        <v>29</v>
      </c>
      <c r="K21" s="8">
        <v>1162000</v>
      </c>
    </row>
    <row r="22" spans="2:11">
      <c r="B22" s="30" t="s">
        <v>62</v>
      </c>
      <c r="C22" s="32" t="s">
        <v>63</v>
      </c>
      <c r="D22" s="28">
        <v>3482996</v>
      </c>
      <c r="F22" s="33" t="s">
        <v>64</v>
      </c>
      <c r="G22" s="34">
        <v>1982000</v>
      </c>
      <c r="I22" s="7"/>
      <c r="K22" s="8"/>
    </row>
    <row r="23" spans="2:11" ht="18.75">
      <c r="B23" s="381" t="s">
        <v>10</v>
      </c>
      <c r="C23" s="382"/>
      <c r="D23" s="383"/>
      <c r="F23" s="381" t="s">
        <v>14</v>
      </c>
      <c r="G23" s="383"/>
      <c r="I23" s="19">
        <v>24</v>
      </c>
      <c r="J23" s="20" t="s">
        <v>33</v>
      </c>
      <c r="K23" s="21">
        <v>34106000</v>
      </c>
    </row>
    <row r="24" spans="2:11" ht="18.75">
      <c r="B24" s="33" t="s">
        <v>65</v>
      </c>
      <c r="C24" s="35" t="s">
        <v>66</v>
      </c>
      <c r="D24" s="34">
        <v>6158000</v>
      </c>
      <c r="F24" s="33" t="s">
        <v>67</v>
      </c>
      <c r="G24" s="34">
        <v>1162000</v>
      </c>
      <c r="I24" s="22"/>
      <c r="J24" s="23"/>
      <c r="K24" s="24"/>
    </row>
    <row r="25" spans="2:11" ht="15.75">
      <c r="B25" s="381" t="s">
        <v>14</v>
      </c>
      <c r="C25" s="382"/>
      <c r="D25" s="383"/>
      <c r="F25" s="381" t="s">
        <v>18</v>
      </c>
      <c r="G25" s="383"/>
    </row>
    <row r="26" spans="2:11">
      <c r="B26" s="16" t="s">
        <v>68</v>
      </c>
      <c r="C26" s="36" t="s">
        <v>69</v>
      </c>
      <c r="D26" s="11">
        <v>7484000</v>
      </c>
      <c r="F26" s="16" t="s">
        <v>70</v>
      </c>
      <c r="G26" s="11">
        <v>1162000</v>
      </c>
    </row>
    <row r="27" spans="2:11" ht="15.75">
      <c r="B27" s="33" t="s">
        <v>71</v>
      </c>
      <c r="C27" s="37" t="s">
        <v>72</v>
      </c>
      <c r="D27" s="34">
        <v>3482996</v>
      </c>
      <c r="F27" s="33" t="s">
        <v>73</v>
      </c>
      <c r="G27" s="34">
        <v>1162000</v>
      </c>
      <c r="I27" s="4">
        <v>56</v>
      </c>
      <c r="J27" s="38" t="s">
        <v>74</v>
      </c>
      <c r="K27" s="39">
        <v>133519898</v>
      </c>
    </row>
    <row r="28" spans="2:11" ht="15.75">
      <c r="B28" s="381" t="s">
        <v>18</v>
      </c>
      <c r="C28" s="382"/>
      <c r="D28" s="383"/>
      <c r="F28" s="381" t="s">
        <v>21</v>
      </c>
      <c r="G28" s="383"/>
      <c r="I28" s="40">
        <v>24</v>
      </c>
      <c r="J28" s="41" t="s">
        <v>75</v>
      </c>
      <c r="K28" s="42">
        <v>34106000</v>
      </c>
    </row>
    <row r="29" spans="2:11" ht="18.75">
      <c r="B29" s="33" t="s">
        <v>76</v>
      </c>
      <c r="C29" s="17" t="s">
        <v>77</v>
      </c>
      <c r="D29" s="34">
        <v>4154000</v>
      </c>
      <c r="F29" s="16" t="s">
        <v>78</v>
      </c>
      <c r="G29" s="11">
        <v>1162000</v>
      </c>
      <c r="I29" s="19">
        <v>80</v>
      </c>
      <c r="J29" s="43" t="s">
        <v>79</v>
      </c>
      <c r="K29" s="44">
        <v>167625898</v>
      </c>
    </row>
    <row r="30" spans="2:11" ht="18.75">
      <c r="B30" s="381" t="s">
        <v>21</v>
      </c>
      <c r="C30" s="382"/>
      <c r="D30" s="383"/>
      <c r="F30" s="33" t="s">
        <v>80</v>
      </c>
      <c r="G30" s="34">
        <v>1162000</v>
      </c>
      <c r="I30" s="22"/>
      <c r="J30" s="45"/>
      <c r="K30" s="24"/>
    </row>
    <row r="31" spans="2:11" ht="15.75">
      <c r="B31" s="16" t="s">
        <v>81</v>
      </c>
      <c r="C31" s="36" t="s">
        <v>69</v>
      </c>
      <c r="D31" s="11">
        <v>7484000</v>
      </c>
      <c r="F31" s="381" t="s">
        <v>25</v>
      </c>
      <c r="G31" s="383"/>
    </row>
    <row r="32" spans="2:11">
      <c r="B32" s="18" t="s">
        <v>82</v>
      </c>
      <c r="C32" s="17"/>
      <c r="D32" s="11">
        <v>3740996</v>
      </c>
      <c r="F32" s="33" t="s">
        <v>83</v>
      </c>
      <c r="G32" s="34">
        <v>1162000</v>
      </c>
    </row>
    <row r="33" spans="2:14" ht="15.75">
      <c r="B33" s="46" t="s">
        <v>84</v>
      </c>
      <c r="C33" s="47" t="s">
        <v>85</v>
      </c>
      <c r="D33" s="34">
        <v>3482996</v>
      </c>
      <c r="F33" s="381" t="s">
        <v>29</v>
      </c>
      <c r="G33" s="383"/>
    </row>
    <row r="34" spans="2:14" ht="15.75">
      <c r="B34" s="381" t="s">
        <v>25</v>
      </c>
      <c r="C34" s="382"/>
      <c r="D34" s="383"/>
      <c r="F34" s="33" t="s">
        <v>86</v>
      </c>
      <c r="G34" s="34">
        <v>1162000</v>
      </c>
    </row>
    <row r="35" spans="2:14">
      <c r="B35" s="14" t="s">
        <v>87</v>
      </c>
      <c r="C35" s="36" t="s">
        <v>69</v>
      </c>
      <c r="D35" s="11">
        <v>9084000</v>
      </c>
    </row>
    <row r="36" spans="2:14">
      <c r="B36" s="16" t="s">
        <v>88</v>
      </c>
      <c r="C36" s="48" t="s">
        <v>89</v>
      </c>
      <c r="D36" s="11">
        <v>3482996</v>
      </c>
    </row>
    <row r="37" spans="2:14">
      <c r="B37" s="14" t="s">
        <v>90</v>
      </c>
      <c r="C37" s="15" t="s">
        <v>91</v>
      </c>
      <c r="D37" s="11">
        <v>3482996</v>
      </c>
      <c r="F37" s="388" t="s">
        <v>92</v>
      </c>
      <c r="G37" s="389"/>
      <c r="H37" s="389"/>
      <c r="I37" s="390"/>
      <c r="J37" s="339" t="s">
        <v>93</v>
      </c>
      <c r="K37" s="339"/>
      <c r="L37" s="340"/>
    </row>
    <row r="38" spans="2:14">
      <c r="B38" s="16" t="s">
        <v>94</v>
      </c>
      <c r="C38" s="17" t="s">
        <v>95</v>
      </c>
      <c r="D38" s="11">
        <v>3482996</v>
      </c>
      <c r="F38" s="391" t="s">
        <v>96</v>
      </c>
      <c r="G38" s="392"/>
      <c r="H38" s="392"/>
      <c r="I38" s="393"/>
      <c r="J38" s="370"/>
      <c r="K38" s="370"/>
      <c r="L38" s="371"/>
    </row>
    <row r="39" spans="2:14">
      <c r="B39" s="14" t="s">
        <v>97</v>
      </c>
      <c r="C39" s="37" t="s">
        <v>98</v>
      </c>
      <c r="D39" s="34">
        <v>3482996</v>
      </c>
      <c r="F39" s="350" t="s">
        <v>99</v>
      </c>
      <c r="G39" s="351"/>
      <c r="H39" s="351"/>
      <c r="I39" s="384"/>
      <c r="J39" s="354" t="s">
        <v>100</v>
      </c>
      <c r="K39" s="354"/>
      <c r="L39" s="355"/>
    </row>
    <row r="40" spans="2:14" ht="15.75">
      <c r="B40" s="381" t="s">
        <v>29</v>
      </c>
      <c r="C40" s="382"/>
      <c r="D40" s="383"/>
      <c r="F40" s="350" t="s">
        <v>101</v>
      </c>
      <c r="G40" s="351"/>
      <c r="H40" s="351"/>
      <c r="I40" s="384"/>
      <c r="J40" s="357" t="s">
        <v>102</v>
      </c>
      <c r="K40" s="357"/>
      <c r="L40" s="358"/>
    </row>
    <row r="41" spans="2:14">
      <c r="B41" s="16" t="s">
        <v>103</v>
      </c>
      <c r="C41" s="17" t="s">
        <v>104</v>
      </c>
      <c r="D41" s="11">
        <v>1982000</v>
      </c>
      <c r="F41" s="359" t="s">
        <v>105</v>
      </c>
      <c r="G41" s="360"/>
      <c r="H41" s="360"/>
      <c r="I41" s="385"/>
      <c r="J41" s="386" t="s">
        <v>106</v>
      </c>
      <c r="K41" s="386"/>
      <c r="L41" s="387"/>
    </row>
    <row r="42" spans="2:14">
      <c r="B42" s="16" t="s">
        <v>107</v>
      </c>
      <c r="C42" s="17" t="s">
        <v>108</v>
      </c>
      <c r="D42" s="11">
        <v>3482996</v>
      </c>
    </row>
    <row r="43" spans="2:14">
      <c r="B43" s="16" t="s">
        <v>109</v>
      </c>
      <c r="C43" s="49" t="s">
        <v>66</v>
      </c>
      <c r="D43" s="11">
        <v>3750000</v>
      </c>
      <c r="F43" s="388" t="s">
        <v>92</v>
      </c>
      <c r="G43" s="389"/>
      <c r="H43" s="389"/>
      <c r="I43" s="390"/>
      <c r="J43" s="339" t="s">
        <v>93</v>
      </c>
      <c r="K43" s="339"/>
      <c r="L43" s="340"/>
    </row>
    <row r="44" spans="2:14">
      <c r="B44" s="33" t="s">
        <v>110</v>
      </c>
      <c r="C44" s="37" t="s">
        <v>111</v>
      </c>
      <c r="D44" s="34">
        <v>3482996</v>
      </c>
      <c r="F44" s="372" t="s">
        <v>112</v>
      </c>
      <c r="G44" s="373"/>
      <c r="H44" s="373"/>
      <c r="I44" s="374"/>
      <c r="J44" s="370" t="s">
        <v>113</v>
      </c>
      <c r="K44" s="370"/>
      <c r="L44" s="371"/>
    </row>
    <row r="45" spans="2:14">
      <c r="F45" s="375" t="s">
        <v>114</v>
      </c>
      <c r="G45" s="376"/>
      <c r="H45" s="376"/>
      <c r="I45" s="377"/>
      <c r="J45" s="354" t="s">
        <v>115</v>
      </c>
      <c r="K45" s="354"/>
      <c r="L45" s="355"/>
    </row>
    <row r="46" spans="2:14">
      <c r="F46" s="326"/>
      <c r="G46" s="327"/>
      <c r="H46" s="327"/>
      <c r="I46" s="378"/>
      <c r="J46" s="379"/>
      <c r="K46" s="379"/>
      <c r="L46" s="380"/>
    </row>
    <row r="47" spans="2:14">
      <c r="F47" s="332"/>
      <c r="G47" s="333"/>
      <c r="H47" s="333"/>
      <c r="I47" s="365"/>
      <c r="J47" s="366"/>
      <c r="K47" s="366"/>
      <c r="L47" s="367"/>
    </row>
    <row r="48" spans="2:14">
      <c r="J48" s="368"/>
      <c r="K48" s="368"/>
      <c r="L48" s="368"/>
      <c r="M48" s="368"/>
      <c r="N48" s="368"/>
    </row>
    <row r="49" spans="6:12">
      <c r="F49" s="338" t="s">
        <v>92</v>
      </c>
      <c r="G49" s="339"/>
      <c r="H49" s="339"/>
      <c r="I49" s="339"/>
      <c r="J49" s="339" t="s">
        <v>93</v>
      </c>
      <c r="K49" s="339"/>
      <c r="L49" s="340"/>
    </row>
    <row r="50" spans="6:12">
      <c r="F50" s="391" t="s">
        <v>82</v>
      </c>
      <c r="G50" s="392"/>
      <c r="H50" s="392"/>
      <c r="I50" s="393"/>
      <c r="J50" s="369" t="s">
        <v>116</v>
      </c>
      <c r="K50" s="370"/>
      <c r="L50" s="371"/>
    </row>
    <row r="51" spans="6:12">
      <c r="F51" s="350" t="s">
        <v>117</v>
      </c>
      <c r="G51" s="351"/>
      <c r="H51" s="351"/>
      <c r="I51" s="352"/>
      <c r="J51" s="353" t="s">
        <v>118</v>
      </c>
      <c r="K51" s="354"/>
      <c r="L51" s="355"/>
    </row>
    <row r="52" spans="6:12">
      <c r="F52" s="350" t="s">
        <v>119</v>
      </c>
      <c r="G52" s="351"/>
      <c r="H52" s="351"/>
      <c r="I52" s="352"/>
      <c r="J52" s="356" t="s">
        <v>120</v>
      </c>
      <c r="K52" s="357"/>
      <c r="L52" s="358"/>
    </row>
    <row r="53" spans="6:12">
      <c r="F53" s="359" t="s">
        <v>121</v>
      </c>
      <c r="G53" s="360"/>
      <c r="H53" s="360"/>
      <c r="I53" s="361"/>
      <c r="J53" s="362" t="s">
        <v>122</v>
      </c>
      <c r="K53" s="363"/>
      <c r="L53" s="364"/>
    </row>
    <row r="55" spans="6:12">
      <c r="F55" s="338" t="s">
        <v>92</v>
      </c>
      <c r="G55" s="339"/>
      <c r="H55" s="339"/>
      <c r="I55" s="339"/>
      <c r="J55" s="339" t="s">
        <v>93</v>
      </c>
      <c r="K55" s="339"/>
      <c r="L55" s="340"/>
    </row>
    <row r="56" spans="6:12">
      <c r="F56" s="341" t="s">
        <v>123</v>
      </c>
      <c r="G56" s="342"/>
      <c r="H56" s="342"/>
      <c r="I56" s="343"/>
      <c r="J56" s="344" t="s">
        <v>124</v>
      </c>
      <c r="K56" s="345"/>
      <c r="L56" s="346"/>
    </row>
    <row r="57" spans="6:12">
      <c r="F57" s="326" t="s">
        <v>125</v>
      </c>
      <c r="G57" s="327"/>
      <c r="H57" s="327"/>
      <c r="I57" s="328"/>
      <c r="J57" s="347" t="s">
        <v>126</v>
      </c>
      <c r="K57" s="348"/>
      <c r="L57" s="349"/>
    </row>
    <row r="58" spans="6:12">
      <c r="F58" s="326" t="s">
        <v>127</v>
      </c>
      <c r="G58" s="327"/>
      <c r="H58" s="327"/>
      <c r="I58" s="328"/>
      <c r="J58" s="329" t="s">
        <v>128</v>
      </c>
      <c r="K58" s="330"/>
      <c r="L58" s="331"/>
    </row>
    <row r="59" spans="6:12">
      <c r="F59" s="332" t="s">
        <v>129</v>
      </c>
      <c r="G59" s="333"/>
      <c r="H59" s="333"/>
      <c r="I59" s="334"/>
      <c r="J59" s="335" t="s">
        <v>130</v>
      </c>
      <c r="K59" s="336"/>
      <c r="L59" s="337"/>
    </row>
  </sheetData>
  <mergeCells count="55">
    <mergeCell ref="B34:D34"/>
    <mergeCell ref="B3:D3"/>
    <mergeCell ref="F3:G3"/>
    <mergeCell ref="F19:G19"/>
    <mergeCell ref="B23:D23"/>
    <mergeCell ref="F23:G23"/>
    <mergeCell ref="B25:D25"/>
    <mergeCell ref="F25:G25"/>
    <mergeCell ref="B28:D28"/>
    <mergeCell ref="F28:G28"/>
    <mergeCell ref="B30:D30"/>
    <mergeCell ref="F31:G31"/>
    <mergeCell ref="F33:G33"/>
    <mergeCell ref="F43:I43"/>
    <mergeCell ref="J43:L43"/>
    <mergeCell ref="F37:I37"/>
    <mergeCell ref="J37:L37"/>
    <mergeCell ref="F38:I38"/>
    <mergeCell ref="J38:L38"/>
    <mergeCell ref="F39:I39"/>
    <mergeCell ref="J39:L39"/>
    <mergeCell ref="B40:D40"/>
    <mergeCell ref="F40:I40"/>
    <mergeCell ref="J40:L40"/>
    <mergeCell ref="F41:I41"/>
    <mergeCell ref="J41:L41"/>
    <mergeCell ref="F50:I50"/>
    <mergeCell ref="J50:L50"/>
    <mergeCell ref="F44:I44"/>
    <mergeCell ref="J44:L44"/>
    <mergeCell ref="F45:I45"/>
    <mergeCell ref="J45:L45"/>
    <mergeCell ref="F46:I46"/>
    <mergeCell ref="J46:L46"/>
    <mergeCell ref="F47:I47"/>
    <mergeCell ref="J47:L47"/>
    <mergeCell ref="J48:N48"/>
    <mergeCell ref="F49:I49"/>
    <mergeCell ref="J49:L49"/>
    <mergeCell ref="F51:I51"/>
    <mergeCell ref="J51:L51"/>
    <mergeCell ref="F52:I52"/>
    <mergeCell ref="J52:L52"/>
    <mergeCell ref="F53:I53"/>
    <mergeCell ref="J53:L53"/>
    <mergeCell ref="F58:I58"/>
    <mergeCell ref="J58:L58"/>
    <mergeCell ref="F59:I59"/>
    <mergeCell ref="J59:L59"/>
    <mergeCell ref="F55:I55"/>
    <mergeCell ref="J55:L55"/>
    <mergeCell ref="F56:I56"/>
    <mergeCell ref="J56:L56"/>
    <mergeCell ref="F57:I57"/>
    <mergeCell ref="J57:L5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5"/>
  <sheetViews>
    <sheetView workbookViewId="0"/>
  </sheetViews>
  <sheetFormatPr baseColWidth="10" defaultRowHeight="15"/>
  <cols>
    <col min="2" max="2" width="3" customWidth="1"/>
    <col min="3" max="3" width="8.85546875" customWidth="1"/>
    <col min="4" max="4" width="46.140625" customWidth="1"/>
    <col min="5" max="5" width="15.28515625" customWidth="1"/>
    <col min="6" max="6" width="14.28515625" customWidth="1"/>
    <col min="7" max="7" width="20.85546875" customWidth="1"/>
    <col min="8" max="8" width="17.28515625" customWidth="1"/>
    <col min="10" max="10" width="13.140625" customWidth="1"/>
    <col min="11" max="11" width="14.42578125" customWidth="1"/>
    <col min="12" max="12" width="11.85546875" customWidth="1"/>
    <col min="13" max="13" width="27.85546875" customWidth="1"/>
    <col min="14" max="14" width="14.28515625" customWidth="1"/>
    <col min="16" max="16" width="15.7109375" customWidth="1"/>
  </cols>
  <sheetData>
    <row r="1" spans="1:21">
      <c r="B1" s="53"/>
      <c r="E1" s="54"/>
      <c r="G1" s="52"/>
      <c r="H1" s="52"/>
      <c r="I1" s="55"/>
      <c r="J1" s="53"/>
      <c r="L1" s="53"/>
      <c r="P1" s="56"/>
    </row>
    <row r="2" spans="1:21" ht="21">
      <c r="B2" s="53"/>
      <c r="E2" s="57"/>
      <c r="G2" s="52"/>
      <c r="H2" s="52"/>
      <c r="I2" s="55"/>
      <c r="J2" s="53"/>
      <c r="L2" s="53"/>
      <c r="P2" s="56"/>
      <c r="R2" s="58" t="s">
        <v>131</v>
      </c>
      <c r="S2" s="59" t="s">
        <v>132</v>
      </c>
      <c r="T2" s="414" t="s">
        <v>133</v>
      </c>
      <c r="U2" s="415"/>
    </row>
    <row r="3" spans="1:21" ht="24">
      <c r="B3" s="53"/>
      <c r="D3" s="60" t="s">
        <v>134</v>
      </c>
      <c r="E3" s="416" t="s">
        <v>135</v>
      </c>
      <c r="F3" s="417"/>
      <c r="G3" s="61" t="s">
        <v>136</v>
      </c>
      <c r="H3" s="63" t="s">
        <v>137</v>
      </c>
      <c r="I3" s="62" t="s">
        <v>138</v>
      </c>
      <c r="J3" s="63" t="s">
        <v>139</v>
      </c>
      <c r="K3" s="64" t="s">
        <v>140</v>
      </c>
      <c r="L3" s="64" t="s">
        <v>141</v>
      </c>
      <c r="M3" s="65" t="s">
        <v>142</v>
      </c>
      <c r="P3" s="56"/>
      <c r="R3" s="66">
        <f>SUM(L5:L123)</f>
        <v>846</v>
      </c>
      <c r="S3" s="67">
        <f>B124</f>
        <v>87</v>
      </c>
      <c r="T3" s="418">
        <f>SUM(A5:A123)</f>
        <v>10</v>
      </c>
      <c r="U3" s="419"/>
    </row>
    <row r="4" spans="1:21" ht="15.75">
      <c r="B4" s="68"/>
      <c r="C4" s="69"/>
      <c r="D4" s="61" t="s">
        <v>143</v>
      </c>
      <c r="E4" s="70" t="s">
        <v>144</v>
      </c>
      <c r="F4" s="71" t="s">
        <v>145</v>
      </c>
      <c r="G4" s="72"/>
      <c r="H4" s="72"/>
      <c r="I4" s="72"/>
      <c r="J4" s="73"/>
      <c r="K4" s="74"/>
      <c r="L4" s="75"/>
      <c r="M4" s="76" t="s">
        <v>146</v>
      </c>
      <c r="N4" s="77" t="s">
        <v>147</v>
      </c>
      <c r="O4" s="77" t="s">
        <v>148</v>
      </c>
      <c r="P4" s="78" t="s">
        <v>149</v>
      </c>
    </row>
    <row r="5" spans="1:21" ht="15.75">
      <c r="B5" s="79">
        <v>1</v>
      </c>
      <c r="C5" s="420"/>
      <c r="D5" s="80" t="s">
        <v>150</v>
      </c>
      <c r="E5" s="81" t="s">
        <v>151</v>
      </c>
      <c r="F5" s="82"/>
      <c r="G5" s="83"/>
      <c r="H5" s="83"/>
      <c r="I5" s="84"/>
      <c r="J5" s="85"/>
      <c r="K5" s="86"/>
      <c r="L5" s="87">
        <v>29</v>
      </c>
      <c r="M5" s="88" t="s">
        <v>152</v>
      </c>
      <c r="N5" s="89"/>
      <c r="O5" s="90"/>
      <c r="P5" s="91" t="s">
        <v>153</v>
      </c>
      <c r="Q5">
        <f>L5+L6+L8</f>
        <v>77</v>
      </c>
    </row>
    <row r="6" spans="1:21" ht="15.75">
      <c r="B6" s="79">
        <v>1</v>
      </c>
      <c r="C6" s="398"/>
      <c r="D6" s="93" t="s">
        <v>154</v>
      </c>
      <c r="E6" s="81" t="s">
        <v>155</v>
      </c>
      <c r="F6" s="94"/>
      <c r="G6" s="83"/>
      <c r="H6" s="83"/>
      <c r="I6" s="84"/>
      <c r="J6" s="85"/>
      <c r="K6" s="86"/>
      <c r="L6" s="95">
        <v>36</v>
      </c>
      <c r="M6" s="96" t="s">
        <v>156</v>
      </c>
      <c r="N6" s="97"/>
      <c r="O6" s="98"/>
      <c r="P6" s="99" t="s">
        <v>157</v>
      </c>
    </row>
    <row r="7" spans="1:21" ht="15.75">
      <c r="B7" s="79">
        <v>1</v>
      </c>
      <c r="C7" s="398"/>
      <c r="D7" s="93" t="s">
        <v>158</v>
      </c>
      <c r="E7" s="81" t="s">
        <v>159</v>
      </c>
      <c r="F7" s="94"/>
      <c r="G7" s="83"/>
      <c r="H7" s="83"/>
      <c r="I7" s="84"/>
      <c r="J7" s="85"/>
      <c r="K7" s="86"/>
      <c r="L7" s="95">
        <v>14</v>
      </c>
      <c r="M7" s="96" t="s">
        <v>160</v>
      </c>
      <c r="N7" s="97"/>
      <c r="O7" s="98"/>
      <c r="P7" s="99"/>
    </row>
    <row r="8" spans="1:21" ht="15.75">
      <c r="B8" s="79">
        <v>1</v>
      </c>
      <c r="C8" s="399"/>
      <c r="D8" s="101" t="s">
        <v>161</v>
      </c>
      <c r="E8" s="102" t="s">
        <v>162</v>
      </c>
      <c r="F8" s="103"/>
      <c r="G8" s="104"/>
      <c r="H8" s="104"/>
      <c r="I8" s="105"/>
      <c r="J8" s="106"/>
      <c r="K8" s="107"/>
      <c r="L8" s="108">
        <v>12</v>
      </c>
      <c r="M8" s="109" t="s">
        <v>163</v>
      </c>
      <c r="N8" s="110"/>
      <c r="O8" s="98"/>
      <c r="P8" s="111"/>
    </row>
    <row r="9" spans="1:21" ht="15.75">
      <c r="B9" s="79">
        <v>1</v>
      </c>
      <c r="C9" s="421"/>
      <c r="D9" s="93" t="s">
        <v>164</v>
      </c>
      <c r="E9" s="81" t="s">
        <v>165</v>
      </c>
      <c r="F9" s="94" t="s">
        <v>166</v>
      </c>
      <c r="G9" s="83" t="s">
        <v>166</v>
      </c>
      <c r="H9" s="83" t="s">
        <v>167</v>
      </c>
      <c r="I9" s="84" t="s">
        <v>168</v>
      </c>
      <c r="J9" s="85">
        <v>37777</v>
      </c>
      <c r="K9" s="112" t="s">
        <v>169</v>
      </c>
      <c r="L9" s="113">
        <v>3</v>
      </c>
      <c r="M9" s="96" t="s">
        <v>163</v>
      </c>
      <c r="N9" s="114" t="s">
        <v>170</v>
      </c>
      <c r="O9" s="115" t="s">
        <v>171</v>
      </c>
      <c r="P9" s="116" t="s">
        <v>153</v>
      </c>
    </row>
    <row r="10" spans="1:21" ht="15.75">
      <c r="B10" s="79">
        <v>1</v>
      </c>
      <c r="C10" s="421"/>
      <c r="D10" s="117" t="s">
        <v>172</v>
      </c>
      <c r="E10" s="118" t="s">
        <v>173</v>
      </c>
      <c r="F10" s="82" t="s">
        <v>174</v>
      </c>
      <c r="G10" s="83" t="s">
        <v>175</v>
      </c>
      <c r="H10" s="83" t="s">
        <v>176</v>
      </c>
      <c r="I10" s="84" t="s">
        <v>168</v>
      </c>
      <c r="J10" s="85">
        <v>37777</v>
      </c>
      <c r="K10" s="119" t="s">
        <v>177</v>
      </c>
      <c r="L10" s="113">
        <v>4</v>
      </c>
      <c r="M10" s="96" t="s">
        <v>178</v>
      </c>
      <c r="N10" s="120"/>
      <c r="O10" s="121" t="s">
        <v>171</v>
      </c>
      <c r="P10" s="122"/>
    </row>
    <row r="11" spans="1:21" ht="15.75">
      <c r="B11" s="123">
        <v>1</v>
      </c>
      <c r="C11" s="124"/>
      <c r="D11" s="125" t="s">
        <v>179</v>
      </c>
      <c r="E11" s="422" t="s">
        <v>180</v>
      </c>
      <c r="F11" s="126"/>
      <c r="G11" s="83"/>
      <c r="H11" s="83"/>
      <c r="I11" s="84"/>
      <c r="J11" s="85"/>
      <c r="K11" s="112" t="s">
        <v>181</v>
      </c>
      <c r="L11" s="127">
        <v>12</v>
      </c>
      <c r="M11" s="128" t="s">
        <v>182</v>
      </c>
      <c r="N11" s="129"/>
      <c r="O11" s="121"/>
      <c r="P11" s="122" t="s">
        <v>183</v>
      </c>
    </row>
    <row r="12" spans="1:21" ht="15.75">
      <c r="B12" s="79">
        <v>1</v>
      </c>
      <c r="C12" s="424" t="s">
        <v>184</v>
      </c>
      <c r="D12" s="130" t="s">
        <v>185</v>
      </c>
      <c r="E12" s="423"/>
      <c r="F12" s="82" t="s">
        <v>186</v>
      </c>
      <c r="G12" s="131" t="s">
        <v>187</v>
      </c>
      <c r="H12" s="83" t="s">
        <v>188</v>
      </c>
      <c r="I12" s="84" t="s">
        <v>168</v>
      </c>
      <c r="J12" s="85">
        <v>4455</v>
      </c>
      <c r="K12" s="112" t="s">
        <v>189</v>
      </c>
      <c r="L12" s="113">
        <v>9</v>
      </c>
      <c r="M12" s="96" t="s">
        <v>190</v>
      </c>
      <c r="N12" s="132"/>
      <c r="O12" s="121" t="s">
        <v>171</v>
      </c>
      <c r="P12" s="122" t="s">
        <v>153</v>
      </c>
    </row>
    <row r="13" spans="1:21" ht="15.75">
      <c r="B13" s="79">
        <v>1</v>
      </c>
      <c r="C13" s="425"/>
      <c r="D13" s="133" t="s">
        <v>191</v>
      </c>
      <c r="E13" s="81" t="s">
        <v>192</v>
      </c>
      <c r="F13" s="94" t="s">
        <v>193</v>
      </c>
      <c r="G13" s="131" t="s">
        <v>194</v>
      </c>
      <c r="H13" s="83" t="s">
        <v>195</v>
      </c>
      <c r="I13" s="84" t="s">
        <v>168</v>
      </c>
      <c r="J13" s="85">
        <v>37777</v>
      </c>
      <c r="K13" s="112" t="s">
        <v>196</v>
      </c>
      <c r="L13" s="113">
        <v>3</v>
      </c>
      <c r="M13" s="96" t="s">
        <v>182</v>
      </c>
      <c r="N13" s="114" t="s">
        <v>170</v>
      </c>
      <c r="O13" s="121" t="s">
        <v>171</v>
      </c>
      <c r="P13" s="122" t="s">
        <v>183</v>
      </c>
    </row>
    <row r="14" spans="1:21" ht="15.75">
      <c r="B14" s="79">
        <v>1</v>
      </c>
      <c r="C14" s="425"/>
      <c r="D14" s="134" t="s">
        <v>197</v>
      </c>
      <c r="E14" s="81" t="s">
        <v>198</v>
      </c>
      <c r="F14" s="94" t="s">
        <v>199</v>
      </c>
      <c r="G14" s="131" t="s">
        <v>200</v>
      </c>
      <c r="H14" s="83" t="s">
        <v>201</v>
      </c>
      <c r="I14" s="84" t="s">
        <v>168</v>
      </c>
      <c r="J14" s="85">
        <v>4456</v>
      </c>
      <c r="K14" s="112" t="s">
        <v>202</v>
      </c>
      <c r="L14" s="113">
        <v>2</v>
      </c>
      <c r="M14" s="96" t="s">
        <v>163</v>
      </c>
      <c r="N14" s="129"/>
      <c r="O14" s="121" t="s">
        <v>171</v>
      </c>
      <c r="P14" s="122"/>
      <c r="Q14" s="368" t="s">
        <v>203</v>
      </c>
      <c r="R14" s="368"/>
      <c r="S14" s="135">
        <v>44761</v>
      </c>
    </row>
    <row r="15" spans="1:21" ht="15.75">
      <c r="A15">
        <v>1</v>
      </c>
      <c r="B15" s="79">
        <v>0</v>
      </c>
      <c r="C15" s="425"/>
      <c r="D15" s="134" t="s">
        <v>204</v>
      </c>
      <c r="E15" s="81" t="s">
        <v>205</v>
      </c>
      <c r="F15" s="94" t="s">
        <v>206</v>
      </c>
      <c r="G15" s="131" t="s">
        <v>207</v>
      </c>
      <c r="H15" s="83" t="s">
        <v>208</v>
      </c>
      <c r="I15" s="84"/>
      <c r="J15" s="85">
        <v>4456</v>
      </c>
      <c r="K15" s="112" t="s">
        <v>209</v>
      </c>
      <c r="L15" s="113">
        <v>2</v>
      </c>
      <c r="M15" s="96" t="s">
        <v>182</v>
      </c>
      <c r="N15" s="129"/>
      <c r="O15" s="121" t="s">
        <v>171</v>
      </c>
      <c r="P15" s="122"/>
      <c r="Q15" s="368" t="s">
        <v>210</v>
      </c>
      <c r="R15" s="368"/>
      <c r="S15" s="135">
        <v>44880</v>
      </c>
    </row>
    <row r="16" spans="1:21" ht="15.75">
      <c r="B16" s="79">
        <v>1</v>
      </c>
      <c r="C16" s="425"/>
      <c r="D16" s="136" t="s">
        <v>211</v>
      </c>
      <c r="E16" s="81" t="s">
        <v>212</v>
      </c>
      <c r="F16" s="94" t="s">
        <v>213</v>
      </c>
      <c r="G16" s="131" t="s">
        <v>214</v>
      </c>
      <c r="H16" s="83" t="s">
        <v>208</v>
      </c>
      <c r="I16" s="84" t="s">
        <v>168</v>
      </c>
      <c r="J16" s="85">
        <v>4456</v>
      </c>
      <c r="K16" s="112" t="s">
        <v>215</v>
      </c>
      <c r="L16" s="113">
        <v>2</v>
      </c>
      <c r="M16" s="96" t="s">
        <v>182</v>
      </c>
      <c r="N16" s="129"/>
      <c r="O16" s="121" t="s">
        <v>171</v>
      </c>
      <c r="P16" s="122" t="s">
        <v>153</v>
      </c>
      <c r="Q16" s="368" t="s">
        <v>216</v>
      </c>
      <c r="R16" s="368"/>
      <c r="S16" s="135">
        <v>45102</v>
      </c>
    </row>
    <row r="17" spans="1:22" ht="15.75">
      <c r="B17" s="79">
        <v>1</v>
      </c>
      <c r="C17" s="425"/>
      <c r="D17" s="136" t="s">
        <v>217</v>
      </c>
      <c r="E17" s="81" t="s">
        <v>218</v>
      </c>
      <c r="F17" s="94" t="s">
        <v>219</v>
      </c>
      <c r="G17" s="131" t="s">
        <v>220</v>
      </c>
      <c r="H17" s="83" t="s">
        <v>221</v>
      </c>
      <c r="I17" s="84" t="s">
        <v>168</v>
      </c>
      <c r="J17" s="85"/>
      <c r="K17" s="112" t="s">
        <v>222</v>
      </c>
      <c r="L17" s="113">
        <v>3</v>
      </c>
      <c r="M17" s="96" t="s">
        <v>160</v>
      </c>
      <c r="N17" s="129"/>
      <c r="O17" s="121" t="s">
        <v>171</v>
      </c>
      <c r="P17" s="122" t="s">
        <v>153</v>
      </c>
      <c r="Q17" s="368" t="s">
        <v>223</v>
      </c>
      <c r="R17" s="368"/>
      <c r="S17" s="135">
        <v>45208</v>
      </c>
    </row>
    <row r="18" spans="1:22" ht="15.75">
      <c r="B18" s="79">
        <v>1</v>
      </c>
      <c r="C18" s="425"/>
      <c r="D18" s="134" t="s">
        <v>224</v>
      </c>
      <c r="E18" s="81" t="s">
        <v>225</v>
      </c>
      <c r="F18" s="94" t="s">
        <v>226</v>
      </c>
      <c r="G18" s="131" t="s">
        <v>227</v>
      </c>
      <c r="H18" s="83" t="s">
        <v>208</v>
      </c>
      <c r="I18" s="84" t="s">
        <v>168</v>
      </c>
      <c r="J18" s="85">
        <v>4455</v>
      </c>
      <c r="K18" s="112" t="s">
        <v>228</v>
      </c>
      <c r="L18" s="113">
        <v>2</v>
      </c>
      <c r="M18" s="96" t="s">
        <v>163</v>
      </c>
      <c r="N18" s="129"/>
      <c r="O18" s="121" t="s">
        <v>171</v>
      </c>
      <c r="P18" s="122" t="s">
        <v>229</v>
      </c>
      <c r="Q18" s="52"/>
      <c r="R18" s="52"/>
      <c r="S18" s="135"/>
    </row>
    <row r="19" spans="1:22" ht="15.75">
      <c r="B19" s="79">
        <v>1</v>
      </c>
      <c r="C19" s="425"/>
      <c r="D19" s="134" t="s">
        <v>230</v>
      </c>
      <c r="E19" s="81" t="s">
        <v>231</v>
      </c>
      <c r="F19" s="94" t="s">
        <v>232</v>
      </c>
      <c r="G19" s="131" t="s">
        <v>233</v>
      </c>
      <c r="H19" s="83" t="s">
        <v>234</v>
      </c>
      <c r="I19" s="84"/>
      <c r="J19" s="85"/>
      <c r="K19" s="112" t="s">
        <v>231</v>
      </c>
      <c r="L19" s="113">
        <v>9</v>
      </c>
      <c r="M19" s="96" t="s">
        <v>182</v>
      </c>
      <c r="N19" s="129"/>
      <c r="O19" s="121" t="s">
        <v>171</v>
      </c>
      <c r="P19" s="122" t="s">
        <v>153</v>
      </c>
      <c r="Q19" s="412" t="s">
        <v>235</v>
      </c>
      <c r="R19" s="412"/>
      <c r="S19" s="135">
        <v>45372</v>
      </c>
    </row>
    <row r="20" spans="1:22" ht="15.75">
      <c r="B20" s="79">
        <v>1</v>
      </c>
      <c r="C20" s="426"/>
      <c r="D20" s="136" t="s">
        <v>236</v>
      </c>
      <c r="E20" s="118" t="s">
        <v>237</v>
      </c>
      <c r="F20" s="82" t="s">
        <v>238</v>
      </c>
      <c r="G20" s="131" t="s">
        <v>239</v>
      </c>
      <c r="H20" s="83"/>
      <c r="I20" s="84" t="s">
        <v>168</v>
      </c>
      <c r="J20" s="85">
        <v>37777</v>
      </c>
      <c r="K20" s="112" t="s">
        <v>240</v>
      </c>
      <c r="L20" s="113">
        <v>2</v>
      </c>
      <c r="M20" s="96" t="s">
        <v>163</v>
      </c>
      <c r="N20" s="129"/>
      <c r="O20" s="121" t="s">
        <v>171</v>
      </c>
      <c r="P20" s="138" t="s">
        <v>229</v>
      </c>
      <c r="Q20" s="412" t="s">
        <v>241</v>
      </c>
      <c r="R20" s="412"/>
      <c r="S20" s="135">
        <v>45427</v>
      </c>
      <c r="T20" s="368" t="s">
        <v>242</v>
      </c>
      <c r="U20" s="368"/>
      <c r="V20" s="368"/>
    </row>
    <row r="21" spans="1:22" ht="15.75">
      <c r="B21" s="79">
        <v>1</v>
      </c>
      <c r="C21" s="426"/>
      <c r="D21" s="136" t="s">
        <v>243</v>
      </c>
      <c r="E21" s="118" t="s">
        <v>244</v>
      </c>
      <c r="F21" s="82" t="s">
        <v>245</v>
      </c>
      <c r="G21" s="131" t="s">
        <v>246</v>
      </c>
      <c r="H21" s="83"/>
      <c r="I21" s="84" t="s">
        <v>168</v>
      </c>
      <c r="J21" s="85">
        <v>4456</v>
      </c>
      <c r="K21" s="112" t="s">
        <v>247</v>
      </c>
      <c r="L21" s="113"/>
      <c r="M21" s="96" t="s">
        <v>160</v>
      </c>
      <c r="N21" s="129"/>
      <c r="O21" s="121" t="s">
        <v>171</v>
      </c>
      <c r="P21" s="122" t="s">
        <v>153</v>
      </c>
      <c r="Q21" s="137"/>
      <c r="R21" s="137"/>
      <c r="S21" s="135"/>
      <c r="T21" s="52"/>
      <c r="U21" s="52"/>
      <c r="V21" s="52"/>
    </row>
    <row r="22" spans="1:22" ht="15.75">
      <c r="B22" s="79">
        <v>1</v>
      </c>
      <c r="C22" s="426"/>
      <c r="D22" s="139" t="s">
        <v>248</v>
      </c>
      <c r="E22" s="81" t="s">
        <v>249</v>
      </c>
      <c r="F22" s="94" t="s">
        <v>250</v>
      </c>
      <c r="G22" s="131" t="s">
        <v>251</v>
      </c>
      <c r="H22" s="83" t="s">
        <v>252</v>
      </c>
      <c r="I22" s="84" t="s">
        <v>168</v>
      </c>
      <c r="J22" s="85">
        <v>4456</v>
      </c>
      <c r="K22" s="112" t="s">
        <v>253</v>
      </c>
      <c r="L22" s="140">
        <v>7</v>
      </c>
      <c r="M22" s="96" t="s">
        <v>152</v>
      </c>
      <c r="N22" s="114" t="s">
        <v>170</v>
      </c>
      <c r="O22" s="121" t="s">
        <v>171</v>
      </c>
      <c r="P22" s="99" t="s">
        <v>157</v>
      </c>
      <c r="Q22" s="137"/>
      <c r="R22" s="137"/>
      <c r="S22" s="135"/>
      <c r="T22" s="52"/>
      <c r="U22" s="52"/>
      <c r="V22" s="52"/>
    </row>
    <row r="23" spans="1:22" ht="15.75">
      <c r="B23" s="79">
        <v>1</v>
      </c>
      <c r="C23" s="426"/>
      <c r="D23" s="134" t="s">
        <v>254</v>
      </c>
      <c r="E23" s="118" t="s">
        <v>255</v>
      </c>
      <c r="F23" s="82"/>
      <c r="G23" s="131"/>
      <c r="H23" s="83"/>
      <c r="I23" s="84"/>
      <c r="J23" s="85"/>
      <c r="K23" s="112"/>
      <c r="L23" s="113">
        <v>6</v>
      </c>
      <c r="M23" s="96" t="s">
        <v>163</v>
      </c>
      <c r="N23" s="129"/>
      <c r="O23" s="121"/>
      <c r="P23" s="122"/>
      <c r="Q23" s="368"/>
      <c r="R23" s="368"/>
    </row>
    <row r="24" spans="1:22" ht="15.75">
      <c r="B24" s="79">
        <v>1</v>
      </c>
      <c r="C24" s="426"/>
      <c r="D24" s="134" t="s">
        <v>256</v>
      </c>
      <c r="E24" s="118" t="s">
        <v>257</v>
      </c>
      <c r="F24" s="82" t="s">
        <v>258</v>
      </c>
      <c r="G24" s="131" t="s">
        <v>259</v>
      </c>
      <c r="H24" s="83" t="s">
        <v>260</v>
      </c>
      <c r="I24" s="84" t="s">
        <v>168</v>
      </c>
      <c r="J24" s="85">
        <v>4456</v>
      </c>
      <c r="K24" s="112" t="s">
        <v>261</v>
      </c>
      <c r="L24" s="113">
        <v>3</v>
      </c>
      <c r="M24" s="96" t="s">
        <v>262</v>
      </c>
      <c r="N24" s="129"/>
      <c r="O24" s="121" t="s">
        <v>171</v>
      </c>
      <c r="P24" s="122" t="s">
        <v>153</v>
      </c>
      <c r="Q24" s="52"/>
      <c r="R24" s="52"/>
    </row>
    <row r="25" spans="1:22" ht="15.75">
      <c r="B25" s="79"/>
      <c r="C25" s="426"/>
      <c r="D25" s="134" t="s">
        <v>263</v>
      </c>
      <c r="E25" s="118" t="s">
        <v>264</v>
      </c>
      <c r="F25" s="82"/>
      <c r="G25" s="131" t="s">
        <v>264</v>
      </c>
      <c r="H25" s="83"/>
      <c r="I25" s="84" t="s">
        <v>265</v>
      </c>
      <c r="J25" s="85">
        <v>37777</v>
      </c>
      <c r="K25" s="112" t="s">
        <v>264</v>
      </c>
      <c r="L25" s="113">
        <v>1</v>
      </c>
      <c r="M25" s="96" t="s">
        <v>266</v>
      </c>
      <c r="N25" s="129"/>
      <c r="O25" s="121"/>
      <c r="P25" s="122"/>
      <c r="Q25" s="52"/>
      <c r="R25" s="52"/>
    </row>
    <row r="26" spans="1:22" ht="15.75">
      <c r="B26" s="79">
        <v>1</v>
      </c>
      <c r="C26" s="426"/>
      <c r="D26" s="134" t="s">
        <v>267</v>
      </c>
      <c r="E26" s="118" t="s">
        <v>268</v>
      </c>
      <c r="F26" s="82" t="s">
        <v>269</v>
      </c>
      <c r="G26" s="131" t="s">
        <v>270</v>
      </c>
      <c r="H26" s="83" t="s">
        <v>271</v>
      </c>
      <c r="I26" s="84" t="s">
        <v>168</v>
      </c>
      <c r="J26" s="85">
        <v>4456</v>
      </c>
      <c r="K26" s="112" t="s">
        <v>272</v>
      </c>
      <c r="L26" s="113">
        <v>2</v>
      </c>
      <c r="M26" s="96" t="s">
        <v>182</v>
      </c>
      <c r="N26" s="129"/>
      <c r="O26" s="121" t="s">
        <v>171</v>
      </c>
      <c r="P26" s="122" t="s">
        <v>229</v>
      </c>
      <c r="Q26" s="52"/>
      <c r="R26" s="52"/>
    </row>
    <row r="27" spans="1:22" ht="15.75">
      <c r="A27">
        <v>1</v>
      </c>
      <c r="B27" s="79"/>
      <c r="C27" s="426"/>
      <c r="D27" s="134" t="s">
        <v>273</v>
      </c>
      <c r="E27" s="118" t="s">
        <v>274</v>
      </c>
      <c r="F27" s="82" t="s">
        <v>275</v>
      </c>
      <c r="G27" s="131" t="s">
        <v>276</v>
      </c>
      <c r="H27" s="83" t="s">
        <v>271</v>
      </c>
      <c r="I27" s="84"/>
      <c r="J27" s="85"/>
      <c r="K27" s="112"/>
      <c r="L27" s="113">
        <v>1</v>
      </c>
      <c r="M27" s="141" t="s">
        <v>277</v>
      </c>
      <c r="N27" s="129"/>
      <c r="O27" s="121" t="s">
        <v>171</v>
      </c>
      <c r="P27" s="122" t="s">
        <v>278</v>
      </c>
      <c r="Q27" s="52"/>
      <c r="R27" s="52"/>
    </row>
    <row r="28" spans="1:22" ht="15.75">
      <c r="B28" s="79">
        <v>1</v>
      </c>
      <c r="C28" s="427"/>
      <c r="D28" s="142" t="s">
        <v>279</v>
      </c>
      <c r="E28" s="102" t="s">
        <v>280</v>
      </c>
      <c r="F28" s="103" t="s">
        <v>281</v>
      </c>
      <c r="G28" s="143" t="s">
        <v>282</v>
      </c>
      <c r="H28" s="104" t="s">
        <v>283</v>
      </c>
      <c r="I28" s="105" t="s">
        <v>168</v>
      </c>
      <c r="J28" s="106">
        <v>4456</v>
      </c>
      <c r="K28" s="144" t="s">
        <v>284</v>
      </c>
      <c r="L28" s="145">
        <v>4</v>
      </c>
      <c r="M28" s="109" t="s">
        <v>182</v>
      </c>
      <c r="N28" s="146" t="s">
        <v>285</v>
      </c>
      <c r="O28" s="147" t="s">
        <v>171</v>
      </c>
      <c r="P28" s="148"/>
      <c r="Q28" s="413" t="s">
        <v>286</v>
      </c>
      <c r="R28" s="413"/>
      <c r="S28" s="135">
        <v>45512</v>
      </c>
      <c r="T28" s="368" t="s">
        <v>287</v>
      </c>
      <c r="U28" s="368"/>
      <c r="V28" s="368"/>
    </row>
    <row r="29" spans="1:22" ht="15.75">
      <c r="B29" s="79">
        <v>1</v>
      </c>
      <c r="C29" s="408" t="s">
        <v>288</v>
      </c>
      <c r="D29" s="149" t="s">
        <v>289</v>
      </c>
      <c r="E29" s="150" t="s">
        <v>290</v>
      </c>
      <c r="F29" s="151" t="s">
        <v>291</v>
      </c>
      <c r="G29" s="152" t="s">
        <v>292</v>
      </c>
      <c r="H29" s="153" t="s">
        <v>293</v>
      </c>
      <c r="I29" s="154" t="s">
        <v>168</v>
      </c>
      <c r="J29" s="155">
        <v>37777</v>
      </c>
      <c r="K29" s="156" t="s">
        <v>294</v>
      </c>
      <c r="L29" s="157">
        <v>4</v>
      </c>
      <c r="M29" s="88" t="s">
        <v>163</v>
      </c>
      <c r="N29" s="132"/>
      <c r="O29" s="121" t="s">
        <v>171</v>
      </c>
      <c r="P29" s="122"/>
      <c r="Q29" s="412" t="s">
        <v>295</v>
      </c>
      <c r="R29" s="412"/>
      <c r="S29" s="135">
        <v>45560</v>
      </c>
    </row>
    <row r="30" spans="1:22" ht="15.75">
      <c r="B30" s="79">
        <v>1</v>
      </c>
      <c r="C30" s="409"/>
      <c r="D30" s="134" t="s">
        <v>22</v>
      </c>
      <c r="E30" s="81" t="s">
        <v>296</v>
      </c>
      <c r="F30" s="94" t="s">
        <v>297</v>
      </c>
      <c r="G30" s="131" t="s">
        <v>298</v>
      </c>
      <c r="H30" s="83" t="s">
        <v>299</v>
      </c>
      <c r="I30" s="84" t="s">
        <v>168</v>
      </c>
      <c r="J30" s="85">
        <v>37777</v>
      </c>
      <c r="K30" s="112" t="s">
        <v>300</v>
      </c>
      <c r="L30" s="140">
        <v>4</v>
      </c>
      <c r="M30" s="96" t="s">
        <v>160</v>
      </c>
      <c r="N30" s="129"/>
      <c r="O30" s="121" t="s">
        <v>171</v>
      </c>
      <c r="P30" s="122" t="s">
        <v>153</v>
      </c>
      <c r="Q30" s="368"/>
      <c r="R30" s="368"/>
    </row>
    <row r="31" spans="1:22" ht="15.75">
      <c r="B31" s="79">
        <v>1</v>
      </c>
      <c r="C31" s="409"/>
      <c r="D31" s="133" t="s">
        <v>301</v>
      </c>
      <c r="E31" s="81" t="s">
        <v>302</v>
      </c>
      <c r="F31" s="94" t="s">
        <v>303</v>
      </c>
      <c r="G31" s="131" t="s">
        <v>304</v>
      </c>
      <c r="H31" s="83" t="s">
        <v>305</v>
      </c>
      <c r="I31" s="84" t="s">
        <v>168</v>
      </c>
      <c r="J31" s="85">
        <v>37777</v>
      </c>
      <c r="K31" s="112" t="s">
        <v>306</v>
      </c>
      <c r="L31" s="140">
        <v>2</v>
      </c>
      <c r="M31" s="96" t="s">
        <v>307</v>
      </c>
      <c r="N31" s="129"/>
      <c r="O31" s="121" t="s">
        <v>171</v>
      </c>
      <c r="P31" s="122"/>
      <c r="Q31" s="413" t="s">
        <v>308</v>
      </c>
      <c r="R31" s="413"/>
      <c r="S31" s="158">
        <v>45510</v>
      </c>
      <c r="T31" s="368" t="s">
        <v>309</v>
      </c>
      <c r="U31" s="368"/>
      <c r="V31" s="368"/>
    </row>
    <row r="32" spans="1:22" ht="15.75">
      <c r="B32" s="79"/>
      <c r="C32" s="409"/>
      <c r="D32" s="134"/>
      <c r="E32" s="81" t="s">
        <v>310</v>
      </c>
      <c r="F32" s="94" t="s">
        <v>311</v>
      </c>
      <c r="G32" s="131" t="s">
        <v>312</v>
      </c>
      <c r="H32" s="83" t="s">
        <v>313</v>
      </c>
      <c r="I32" s="84" t="s">
        <v>168</v>
      </c>
      <c r="J32" s="85">
        <v>37777</v>
      </c>
      <c r="K32" s="112" t="s">
        <v>314</v>
      </c>
      <c r="L32" s="140">
        <v>3</v>
      </c>
      <c r="M32" s="96" t="s">
        <v>315</v>
      </c>
      <c r="N32" s="129"/>
      <c r="O32" s="121" t="s">
        <v>171</v>
      </c>
      <c r="P32" s="122"/>
    </row>
    <row r="33" spans="1:22" ht="15.75">
      <c r="B33" s="79">
        <v>1</v>
      </c>
      <c r="C33" s="409"/>
      <c r="D33" s="134" t="s">
        <v>26</v>
      </c>
      <c r="E33" s="81" t="s">
        <v>316</v>
      </c>
      <c r="F33" s="94" t="s">
        <v>317</v>
      </c>
      <c r="G33" s="131" t="s">
        <v>318</v>
      </c>
      <c r="H33" s="83" t="s">
        <v>313</v>
      </c>
      <c r="I33" s="84" t="s">
        <v>168</v>
      </c>
      <c r="J33" s="85">
        <v>37777</v>
      </c>
      <c r="K33" s="112" t="s">
        <v>314</v>
      </c>
      <c r="L33" s="140">
        <v>3</v>
      </c>
      <c r="M33" s="96" t="s">
        <v>152</v>
      </c>
      <c r="N33" s="129"/>
      <c r="O33" s="121" t="s">
        <v>171</v>
      </c>
      <c r="P33" s="122"/>
      <c r="Q33" s="413" t="s">
        <v>319</v>
      </c>
      <c r="R33" s="413"/>
      <c r="S33" s="158">
        <v>45490</v>
      </c>
      <c r="T33" s="368" t="s">
        <v>320</v>
      </c>
      <c r="U33" s="368"/>
      <c r="V33" s="368"/>
    </row>
    <row r="34" spans="1:22" ht="15.75">
      <c r="B34" s="79">
        <v>1</v>
      </c>
      <c r="C34" s="409"/>
      <c r="D34" s="134" t="s">
        <v>30</v>
      </c>
      <c r="E34" s="81" t="s">
        <v>321</v>
      </c>
      <c r="F34" s="94" t="s">
        <v>322</v>
      </c>
      <c r="G34" s="131" t="s">
        <v>323</v>
      </c>
      <c r="H34" s="83" t="s">
        <v>324</v>
      </c>
      <c r="I34" s="84" t="s">
        <v>168</v>
      </c>
      <c r="J34" s="85">
        <v>37777</v>
      </c>
      <c r="K34" s="112" t="s">
        <v>325</v>
      </c>
      <c r="L34" s="140">
        <v>3</v>
      </c>
      <c r="M34" s="96" t="s">
        <v>163</v>
      </c>
      <c r="N34" s="129"/>
      <c r="O34" s="121" t="s">
        <v>171</v>
      </c>
      <c r="P34" s="122"/>
    </row>
    <row r="35" spans="1:22" ht="15.75">
      <c r="B35" s="79">
        <v>1</v>
      </c>
      <c r="C35" s="409"/>
      <c r="D35" s="134" t="s">
        <v>37</v>
      </c>
      <c r="E35" s="81" t="s">
        <v>326</v>
      </c>
      <c r="F35" s="94" t="s">
        <v>327</v>
      </c>
      <c r="G35" s="131" t="s">
        <v>328</v>
      </c>
      <c r="H35" s="83" t="s">
        <v>329</v>
      </c>
      <c r="I35" s="84" t="s">
        <v>168</v>
      </c>
      <c r="J35" s="85">
        <v>37777</v>
      </c>
      <c r="K35" s="112" t="s">
        <v>330</v>
      </c>
      <c r="L35" s="140">
        <v>2</v>
      </c>
      <c r="M35" s="96" t="s">
        <v>160</v>
      </c>
      <c r="N35" s="129"/>
      <c r="O35" s="121" t="s">
        <v>171</v>
      </c>
      <c r="P35" s="122"/>
    </row>
    <row r="36" spans="1:22" ht="15.75">
      <c r="B36" s="79">
        <v>1</v>
      </c>
      <c r="C36" s="409"/>
      <c r="D36" s="134" t="s">
        <v>331</v>
      </c>
      <c r="E36" s="81" t="s">
        <v>332</v>
      </c>
      <c r="F36" s="94" t="s">
        <v>333</v>
      </c>
      <c r="G36" s="131" t="s">
        <v>334</v>
      </c>
      <c r="H36" s="83" t="s">
        <v>335</v>
      </c>
      <c r="I36" s="84" t="s">
        <v>168</v>
      </c>
      <c r="J36" s="85">
        <v>37777</v>
      </c>
      <c r="K36" s="112" t="s">
        <v>306</v>
      </c>
      <c r="L36" s="140">
        <v>2</v>
      </c>
      <c r="M36" s="96" t="s">
        <v>163</v>
      </c>
      <c r="N36" s="129"/>
      <c r="O36" s="121" t="s">
        <v>171</v>
      </c>
      <c r="P36" s="122"/>
    </row>
    <row r="37" spans="1:22" ht="15.75">
      <c r="B37" s="79"/>
      <c r="C37" s="409"/>
      <c r="D37" s="134"/>
      <c r="E37" s="81"/>
      <c r="F37" s="94"/>
      <c r="G37" s="131"/>
      <c r="H37" s="83"/>
      <c r="I37" s="84"/>
      <c r="J37" s="85"/>
      <c r="K37" s="112"/>
      <c r="L37" s="140"/>
      <c r="M37" s="96"/>
      <c r="N37" s="129"/>
      <c r="O37" s="121"/>
      <c r="P37" s="122"/>
    </row>
    <row r="38" spans="1:22" ht="15.75">
      <c r="B38" s="79">
        <v>1</v>
      </c>
      <c r="C38" s="409"/>
      <c r="D38" s="134" t="s">
        <v>336</v>
      </c>
      <c r="E38" s="81" t="s">
        <v>337</v>
      </c>
      <c r="F38" s="94" t="s">
        <v>338</v>
      </c>
      <c r="G38" s="131" t="s">
        <v>339</v>
      </c>
      <c r="H38" s="83"/>
      <c r="I38" s="84" t="s">
        <v>168</v>
      </c>
      <c r="J38" s="85">
        <v>4456</v>
      </c>
      <c r="K38" s="112" t="s">
        <v>340</v>
      </c>
      <c r="L38" s="140">
        <v>2</v>
      </c>
      <c r="M38" s="96" t="s">
        <v>163</v>
      </c>
      <c r="N38" s="129"/>
      <c r="O38" s="121" t="s">
        <v>171</v>
      </c>
      <c r="P38" s="122"/>
    </row>
    <row r="39" spans="1:22" ht="15.75">
      <c r="B39" s="79">
        <v>1</v>
      </c>
      <c r="C39" s="409"/>
      <c r="D39" s="159" t="s">
        <v>341</v>
      </c>
      <c r="E39" s="81" t="s">
        <v>342</v>
      </c>
      <c r="F39" s="94" t="s">
        <v>343</v>
      </c>
      <c r="G39" s="131" t="s">
        <v>344</v>
      </c>
      <c r="H39" s="83" t="s">
        <v>271</v>
      </c>
      <c r="I39" s="84" t="s">
        <v>168</v>
      </c>
      <c r="J39" s="85">
        <v>4456</v>
      </c>
      <c r="K39" s="112" t="s">
        <v>345</v>
      </c>
      <c r="L39" s="140">
        <v>3</v>
      </c>
      <c r="M39" s="96" t="s">
        <v>163</v>
      </c>
      <c r="N39" s="129"/>
      <c r="O39" s="121"/>
      <c r="P39" s="138" t="s">
        <v>346</v>
      </c>
    </row>
    <row r="40" spans="1:22" ht="15.75">
      <c r="B40" s="79">
        <v>1</v>
      </c>
      <c r="C40" s="409"/>
      <c r="D40" s="136" t="s">
        <v>347</v>
      </c>
      <c r="E40" s="81" t="s">
        <v>348</v>
      </c>
      <c r="F40" s="94" t="s">
        <v>349</v>
      </c>
      <c r="G40" s="131"/>
      <c r="H40" s="83"/>
      <c r="I40" s="84" t="s">
        <v>168</v>
      </c>
      <c r="J40" s="85">
        <v>4456</v>
      </c>
      <c r="K40" s="112" t="s">
        <v>350</v>
      </c>
      <c r="L40" s="140">
        <v>2</v>
      </c>
      <c r="M40" s="96" t="s">
        <v>182</v>
      </c>
      <c r="N40" s="129"/>
      <c r="O40" s="121" t="s">
        <v>171</v>
      </c>
      <c r="P40" s="138" t="s">
        <v>346</v>
      </c>
    </row>
    <row r="41" spans="1:22" ht="15.75">
      <c r="B41" s="79">
        <v>1</v>
      </c>
      <c r="C41" s="409"/>
      <c r="D41" s="136" t="s">
        <v>351</v>
      </c>
      <c r="E41" s="81" t="s">
        <v>352</v>
      </c>
      <c r="F41" s="94" t="s">
        <v>353</v>
      </c>
      <c r="G41" s="131"/>
      <c r="H41" s="83"/>
      <c r="I41" s="84" t="s">
        <v>168</v>
      </c>
      <c r="J41" s="85">
        <v>37777</v>
      </c>
      <c r="K41" s="112" t="s">
        <v>354</v>
      </c>
      <c r="L41" s="140">
        <v>4</v>
      </c>
      <c r="M41" s="96" t="s">
        <v>355</v>
      </c>
      <c r="N41" s="160" t="s">
        <v>285</v>
      </c>
      <c r="O41" s="121" t="s">
        <v>171</v>
      </c>
      <c r="P41" s="138" t="s">
        <v>346</v>
      </c>
    </row>
    <row r="42" spans="1:22" ht="15.75">
      <c r="B42" s="79">
        <v>1</v>
      </c>
      <c r="C42" s="409"/>
      <c r="D42" s="136" t="s">
        <v>356</v>
      </c>
      <c r="E42" s="81" t="s">
        <v>357</v>
      </c>
      <c r="F42" s="94" t="s">
        <v>358</v>
      </c>
      <c r="G42" s="131" t="s">
        <v>359</v>
      </c>
      <c r="H42" s="83"/>
      <c r="I42" s="84" t="s">
        <v>168</v>
      </c>
      <c r="J42" s="85">
        <v>37777</v>
      </c>
      <c r="K42" s="112" t="s">
        <v>360</v>
      </c>
      <c r="L42" s="140">
        <v>2</v>
      </c>
      <c r="M42" s="96" t="s">
        <v>182</v>
      </c>
      <c r="N42" s="129"/>
      <c r="O42" s="121" t="s">
        <v>171</v>
      </c>
      <c r="P42" s="138" t="s">
        <v>346</v>
      </c>
    </row>
    <row r="43" spans="1:22" ht="15.75">
      <c r="B43" s="79">
        <v>1</v>
      </c>
      <c r="C43" s="409"/>
      <c r="D43" s="133" t="s">
        <v>361</v>
      </c>
      <c r="E43" s="81" t="s">
        <v>362</v>
      </c>
      <c r="F43" s="94" t="s">
        <v>363</v>
      </c>
      <c r="G43" s="131" t="s">
        <v>364</v>
      </c>
      <c r="H43" s="83" t="s">
        <v>365</v>
      </c>
      <c r="I43" s="84" t="s">
        <v>168</v>
      </c>
      <c r="J43" s="85">
        <v>37777</v>
      </c>
      <c r="K43" s="112" t="s">
        <v>366</v>
      </c>
      <c r="L43" s="140">
        <v>3</v>
      </c>
      <c r="M43" s="96" t="s">
        <v>163</v>
      </c>
      <c r="N43" s="114" t="s">
        <v>170</v>
      </c>
      <c r="O43" s="121" t="s">
        <v>171</v>
      </c>
      <c r="P43" s="161" t="s">
        <v>157</v>
      </c>
    </row>
    <row r="44" spans="1:22" ht="15.75">
      <c r="B44" s="79">
        <v>1</v>
      </c>
      <c r="C44" s="409"/>
      <c r="D44" s="159" t="s">
        <v>367</v>
      </c>
      <c r="E44" s="81" t="s">
        <v>368</v>
      </c>
      <c r="F44" s="94" t="s">
        <v>208</v>
      </c>
      <c r="G44" s="131" t="s">
        <v>369</v>
      </c>
      <c r="H44" s="83" t="s">
        <v>370</v>
      </c>
      <c r="I44" s="84" t="s">
        <v>168</v>
      </c>
      <c r="J44" s="85">
        <v>4456</v>
      </c>
      <c r="K44" s="162" t="s">
        <v>371</v>
      </c>
      <c r="L44" s="140">
        <v>1</v>
      </c>
      <c r="M44" s="96" t="s">
        <v>372</v>
      </c>
      <c r="N44" s="129"/>
      <c r="O44" s="121" t="s">
        <v>171</v>
      </c>
      <c r="P44" s="122"/>
    </row>
    <row r="45" spans="1:22" ht="15.75">
      <c r="A45">
        <v>1</v>
      </c>
      <c r="B45" s="79">
        <v>0</v>
      </c>
      <c r="C45" s="409"/>
      <c r="D45" s="163" t="s">
        <v>373</v>
      </c>
      <c r="E45" s="164" t="s">
        <v>374</v>
      </c>
      <c r="F45" s="165" t="s">
        <v>375</v>
      </c>
      <c r="G45" s="166" t="s">
        <v>376</v>
      </c>
      <c r="H45" s="167"/>
      <c r="I45" s="168"/>
      <c r="J45" s="169"/>
      <c r="K45" s="170"/>
      <c r="L45" s="140">
        <v>1</v>
      </c>
      <c r="M45" s="141" t="s">
        <v>277</v>
      </c>
      <c r="N45" s="129"/>
      <c r="O45" s="121" t="s">
        <v>171</v>
      </c>
      <c r="P45" s="122"/>
    </row>
    <row r="46" spans="1:22" ht="15.75">
      <c r="A46">
        <v>1</v>
      </c>
      <c r="B46" s="79">
        <v>0</v>
      </c>
      <c r="C46" s="409"/>
      <c r="D46" s="136" t="s">
        <v>377</v>
      </c>
      <c r="E46" s="81" t="s">
        <v>378</v>
      </c>
      <c r="F46" s="94" t="s">
        <v>208</v>
      </c>
      <c r="G46" s="131" t="s">
        <v>379</v>
      </c>
      <c r="H46" s="83"/>
      <c r="I46" s="84"/>
      <c r="J46" s="85"/>
      <c r="K46" s="162"/>
      <c r="L46" s="140">
        <v>1</v>
      </c>
      <c r="M46" s="96" t="s">
        <v>163</v>
      </c>
      <c r="N46" s="129"/>
      <c r="O46" s="121" t="s">
        <v>171</v>
      </c>
      <c r="P46" s="122"/>
      <c r="R46">
        <f>SUM(L9:L67)</f>
        <v>168</v>
      </c>
    </row>
    <row r="47" spans="1:22" ht="15.75">
      <c r="B47" s="79">
        <v>1</v>
      </c>
      <c r="C47" s="409"/>
      <c r="D47" s="134" t="s">
        <v>380</v>
      </c>
      <c r="E47" s="81" t="s">
        <v>381</v>
      </c>
      <c r="F47" s="94" t="s">
        <v>382</v>
      </c>
      <c r="G47" s="131" t="s">
        <v>383</v>
      </c>
      <c r="H47" s="83" t="s">
        <v>384</v>
      </c>
      <c r="I47" s="84" t="s">
        <v>168</v>
      </c>
      <c r="J47" s="85">
        <v>37777</v>
      </c>
      <c r="K47" s="162" t="s">
        <v>385</v>
      </c>
      <c r="L47" s="140">
        <v>4</v>
      </c>
      <c r="M47" s="96" t="s">
        <v>163</v>
      </c>
      <c r="N47" s="129"/>
      <c r="O47" s="171"/>
      <c r="P47" s="172"/>
    </row>
    <row r="48" spans="1:22" ht="15.75">
      <c r="B48" s="79">
        <v>1</v>
      </c>
      <c r="C48" s="409"/>
      <c r="D48" s="134" t="s">
        <v>47</v>
      </c>
      <c r="E48" s="81" t="s">
        <v>386</v>
      </c>
      <c r="F48" s="94" t="s">
        <v>387</v>
      </c>
      <c r="G48" s="131" t="s">
        <v>388</v>
      </c>
      <c r="H48" s="83" t="s">
        <v>389</v>
      </c>
      <c r="I48" s="84" t="s">
        <v>168</v>
      </c>
      <c r="J48" s="85">
        <v>37777</v>
      </c>
      <c r="K48" s="162" t="s">
        <v>390</v>
      </c>
      <c r="L48" s="140">
        <v>2</v>
      </c>
      <c r="M48" s="96" t="s">
        <v>307</v>
      </c>
      <c r="N48" s="129"/>
      <c r="O48" s="171"/>
      <c r="P48" s="172"/>
    </row>
    <row r="49" spans="1:19" ht="15.75">
      <c r="B49" s="79">
        <v>1</v>
      </c>
      <c r="C49" s="409"/>
      <c r="D49" s="134" t="s">
        <v>50</v>
      </c>
      <c r="E49" s="81" t="s">
        <v>391</v>
      </c>
      <c r="F49" s="94" t="s">
        <v>392</v>
      </c>
      <c r="G49" s="131" t="s">
        <v>393</v>
      </c>
      <c r="H49" s="83" t="s">
        <v>394</v>
      </c>
      <c r="I49" s="84" t="s">
        <v>168</v>
      </c>
      <c r="J49" s="85">
        <v>37777</v>
      </c>
      <c r="K49" s="162" t="s">
        <v>395</v>
      </c>
      <c r="L49" s="140">
        <v>2</v>
      </c>
      <c r="M49" s="96" t="s">
        <v>163</v>
      </c>
      <c r="N49" s="160" t="s">
        <v>285</v>
      </c>
      <c r="O49" s="171"/>
      <c r="P49" s="138" t="s">
        <v>346</v>
      </c>
    </row>
    <row r="50" spans="1:19" ht="15.75">
      <c r="B50" s="79">
        <v>1</v>
      </c>
      <c r="C50" s="410"/>
      <c r="D50" s="159" t="s">
        <v>396</v>
      </c>
      <c r="E50" s="81"/>
      <c r="F50" s="94" t="s">
        <v>397</v>
      </c>
      <c r="G50" s="131" t="s">
        <v>398</v>
      </c>
      <c r="H50" s="83"/>
      <c r="I50" s="84"/>
      <c r="J50" s="85"/>
      <c r="K50" s="162" t="s">
        <v>399</v>
      </c>
      <c r="L50" s="140">
        <v>5</v>
      </c>
      <c r="M50" s="96" t="s">
        <v>163</v>
      </c>
      <c r="N50" s="160" t="s">
        <v>285</v>
      </c>
      <c r="O50" s="171"/>
      <c r="P50" s="138" t="s">
        <v>346</v>
      </c>
    </row>
    <row r="51" spans="1:19" ht="15.75">
      <c r="B51" s="79"/>
      <c r="C51" s="411"/>
      <c r="D51" s="173"/>
      <c r="E51" s="174"/>
      <c r="F51" s="175"/>
      <c r="G51" s="176"/>
      <c r="H51" s="177"/>
      <c r="I51" s="178"/>
      <c r="J51" s="179"/>
      <c r="K51" s="180"/>
      <c r="L51" s="145"/>
      <c r="M51" s="181"/>
      <c r="N51" s="120"/>
      <c r="O51" s="182"/>
      <c r="P51" s="183"/>
    </row>
    <row r="52" spans="1:19" ht="15.75">
      <c r="B52" s="79">
        <v>1</v>
      </c>
      <c r="C52" s="400" t="s">
        <v>400</v>
      </c>
      <c r="D52" s="184" t="s">
        <v>401</v>
      </c>
      <c r="E52" s="150" t="s">
        <v>402</v>
      </c>
      <c r="F52" s="151" t="s">
        <v>403</v>
      </c>
      <c r="G52" s="152" t="s">
        <v>404</v>
      </c>
      <c r="H52" s="153" t="s">
        <v>405</v>
      </c>
      <c r="I52" s="154" t="s">
        <v>168</v>
      </c>
      <c r="J52" s="155">
        <v>37777</v>
      </c>
      <c r="K52" s="156" t="s">
        <v>406</v>
      </c>
      <c r="L52" s="157">
        <v>3</v>
      </c>
      <c r="M52" s="88" t="s">
        <v>163</v>
      </c>
      <c r="N52" s="132"/>
      <c r="O52" s="185"/>
      <c r="P52" s="186" t="s">
        <v>153</v>
      </c>
    </row>
    <row r="53" spans="1:19" ht="15.75">
      <c r="B53" s="79">
        <v>1</v>
      </c>
      <c r="C53" s="401"/>
      <c r="D53" s="134" t="s">
        <v>407</v>
      </c>
      <c r="E53" s="81" t="s">
        <v>408</v>
      </c>
      <c r="F53" s="94" t="s">
        <v>409</v>
      </c>
      <c r="G53" s="131" t="s">
        <v>410</v>
      </c>
      <c r="H53" s="83" t="s">
        <v>411</v>
      </c>
      <c r="I53" s="84" t="s">
        <v>168</v>
      </c>
      <c r="J53" s="85">
        <v>37777</v>
      </c>
      <c r="K53" s="162" t="s">
        <v>412</v>
      </c>
      <c r="L53" s="140">
        <v>2</v>
      </c>
      <c r="M53" s="96" t="s">
        <v>163</v>
      </c>
      <c r="N53" s="160"/>
      <c r="O53" s="171"/>
      <c r="P53" s="172"/>
    </row>
    <row r="54" spans="1:19" ht="15.75">
      <c r="B54" s="79">
        <v>1</v>
      </c>
      <c r="C54" s="401"/>
      <c r="D54" s="134" t="s">
        <v>55</v>
      </c>
      <c r="E54" s="81" t="s">
        <v>413</v>
      </c>
      <c r="F54" s="94" t="s">
        <v>414</v>
      </c>
      <c r="G54" s="131" t="s">
        <v>415</v>
      </c>
      <c r="H54" s="83" t="s">
        <v>416</v>
      </c>
      <c r="I54" s="84" t="s">
        <v>168</v>
      </c>
      <c r="J54" s="85">
        <v>37777</v>
      </c>
      <c r="K54" s="162" t="s">
        <v>417</v>
      </c>
      <c r="L54" s="140">
        <v>2</v>
      </c>
      <c r="M54" s="96" t="s">
        <v>163</v>
      </c>
      <c r="N54" s="160" t="s">
        <v>285</v>
      </c>
      <c r="O54" s="171"/>
      <c r="P54" s="138" t="s">
        <v>346</v>
      </c>
    </row>
    <row r="55" spans="1:19" ht="15.75">
      <c r="B55" s="79">
        <v>1</v>
      </c>
      <c r="C55" s="401"/>
      <c r="D55" s="159" t="s">
        <v>418</v>
      </c>
      <c r="E55" s="81" t="s">
        <v>419</v>
      </c>
      <c r="F55" s="94"/>
      <c r="G55" s="131" t="s">
        <v>420</v>
      </c>
      <c r="H55" s="83"/>
      <c r="I55" s="84" t="s">
        <v>168</v>
      </c>
      <c r="J55" s="85">
        <v>4456</v>
      </c>
      <c r="K55" s="162" t="s">
        <v>421</v>
      </c>
      <c r="L55" s="140">
        <v>2</v>
      </c>
      <c r="M55" s="96" t="s">
        <v>422</v>
      </c>
      <c r="N55" s="160" t="s">
        <v>285</v>
      </c>
      <c r="O55" s="171"/>
      <c r="P55" s="172"/>
    </row>
    <row r="56" spans="1:19" ht="15.75">
      <c r="B56" s="79">
        <v>1</v>
      </c>
      <c r="C56" s="401"/>
      <c r="D56" s="159" t="s">
        <v>423</v>
      </c>
      <c r="E56" s="81" t="s">
        <v>424</v>
      </c>
      <c r="F56" s="94"/>
      <c r="G56" s="131" t="s">
        <v>425</v>
      </c>
      <c r="H56" s="83"/>
      <c r="I56" s="84" t="s">
        <v>168</v>
      </c>
      <c r="J56" s="85">
        <v>4456</v>
      </c>
      <c r="K56" s="162" t="s">
        <v>426</v>
      </c>
      <c r="L56" s="140">
        <v>2</v>
      </c>
      <c r="M56" s="96" t="s">
        <v>182</v>
      </c>
      <c r="N56" s="160" t="s">
        <v>285</v>
      </c>
      <c r="O56" s="171"/>
      <c r="P56" s="172" t="s">
        <v>427</v>
      </c>
      <c r="S56" t="s">
        <v>428</v>
      </c>
    </row>
    <row r="57" spans="1:19" ht="15.75">
      <c r="B57" s="79">
        <v>1</v>
      </c>
      <c r="C57" s="401"/>
      <c r="D57" s="134" t="s">
        <v>429</v>
      </c>
      <c r="E57" s="81" t="s">
        <v>430</v>
      </c>
      <c r="F57" s="94" t="s">
        <v>431</v>
      </c>
      <c r="G57" s="131" t="s">
        <v>432</v>
      </c>
      <c r="H57" s="83" t="s">
        <v>433</v>
      </c>
      <c r="I57" s="84" t="s">
        <v>168</v>
      </c>
      <c r="J57" s="85">
        <v>4455</v>
      </c>
      <c r="K57" s="162" t="s">
        <v>434</v>
      </c>
      <c r="L57" s="140">
        <v>2</v>
      </c>
      <c r="M57" s="96" t="s">
        <v>182</v>
      </c>
      <c r="N57" s="160"/>
      <c r="O57" s="171"/>
      <c r="P57" s="138"/>
    </row>
    <row r="58" spans="1:19" ht="15.75">
      <c r="B58" s="79">
        <v>1</v>
      </c>
      <c r="C58" s="401"/>
      <c r="D58" s="134" t="s">
        <v>56</v>
      </c>
      <c r="E58" s="81" t="s">
        <v>435</v>
      </c>
      <c r="F58" s="94" t="s">
        <v>436</v>
      </c>
      <c r="G58" s="131" t="s">
        <v>437</v>
      </c>
      <c r="H58" s="83" t="s">
        <v>433</v>
      </c>
      <c r="I58" s="84" t="s">
        <v>168</v>
      </c>
      <c r="J58" s="85">
        <v>37777</v>
      </c>
      <c r="K58" s="162" t="s">
        <v>438</v>
      </c>
      <c r="L58" s="140">
        <v>3</v>
      </c>
      <c r="M58" s="96" t="s">
        <v>163</v>
      </c>
      <c r="N58" s="129"/>
      <c r="O58" s="171"/>
      <c r="P58" s="172"/>
    </row>
    <row r="59" spans="1:19" ht="15.75">
      <c r="B59" s="187">
        <v>1</v>
      </c>
      <c r="C59" s="401"/>
      <c r="D59" s="134" t="s">
        <v>439</v>
      </c>
      <c r="E59" s="188" t="s">
        <v>440</v>
      </c>
      <c r="F59" s="94" t="s">
        <v>441</v>
      </c>
      <c r="G59" s="131" t="s">
        <v>442</v>
      </c>
      <c r="H59" s="83"/>
      <c r="I59" s="84" t="s">
        <v>168</v>
      </c>
      <c r="J59" s="84">
        <v>4456</v>
      </c>
      <c r="K59" s="162" t="s">
        <v>443</v>
      </c>
      <c r="L59" s="189">
        <v>2</v>
      </c>
      <c r="M59" s="96" t="s">
        <v>163</v>
      </c>
      <c r="N59" s="129"/>
      <c r="O59" s="190"/>
      <c r="P59" s="191"/>
    </row>
    <row r="60" spans="1:19" ht="15.75">
      <c r="A60">
        <v>1</v>
      </c>
      <c r="B60" s="79">
        <v>0</v>
      </c>
      <c r="C60" s="401"/>
      <c r="D60" s="192" t="s">
        <v>444</v>
      </c>
      <c r="E60" s="193" t="s">
        <v>445</v>
      </c>
      <c r="F60" s="194" t="s">
        <v>436</v>
      </c>
      <c r="G60" s="195" t="s">
        <v>446</v>
      </c>
      <c r="H60" s="196" t="s">
        <v>433</v>
      </c>
      <c r="I60" s="197" t="s">
        <v>168</v>
      </c>
      <c r="J60" s="198">
        <v>37777</v>
      </c>
      <c r="K60" s="199" t="s">
        <v>438</v>
      </c>
      <c r="L60" s="140">
        <v>1</v>
      </c>
      <c r="M60" s="96" t="s">
        <v>447</v>
      </c>
      <c r="N60" s="129"/>
      <c r="O60" s="171"/>
      <c r="P60" s="172"/>
    </row>
    <row r="61" spans="1:19" ht="15.75">
      <c r="B61" s="79">
        <v>1</v>
      </c>
      <c r="C61" s="400" t="s">
        <v>448</v>
      </c>
      <c r="D61" s="184" t="s">
        <v>449</v>
      </c>
      <c r="E61" s="150" t="s">
        <v>450</v>
      </c>
      <c r="F61" s="151" t="s">
        <v>451</v>
      </c>
      <c r="G61" s="152" t="s">
        <v>452</v>
      </c>
      <c r="H61" s="153" t="s">
        <v>453</v>
      </c>
      <c r="I61" s="154" t="s">
        <v>168</v>
      </c>
      <c r="J61" s="155">
        <v>37777</v>
      </c>
      <c r="K61" s="156" t="s">
        <v>454</v>
      </c>
      <c r="L61" s="157">
        <v>3</v>
      </c>
      <c r="M61" s="88" t="s">
        <v>455</v>
      </c>
      <c r="N61" s="132"/>
      <c r="O61" s="185"/>
      <c r="P61" s="186"/>
    </row>
    <row r="62" spans="1:19" ht="15.75">
      <c r="B62" s="79">
        <v>1</v>
      </c>
      <c r="C62" s="401"/>
      <c r="D62" s="134" t="s">
        <v>456</v>
      </c>
      <c r="E62" s="81" t="s">
        <v>457</v>
      </c>
      <c r="F62" s="94" t="s">
        <v>458</v>
      </c>
      <c r="G62" s="131" t="s">
        <v>459</v>
      </c>
      <c r="H62" s="83" t="s">
        <v>460</v>
      </c>
      <c r="I62" s="84" t="s">
        <v>168</v>
      </c>
      <c r="J62" s="85">
        <v>37777</v>
      </c>
      <c r="K62" s="112" t="s">
        <v>461</v>
      </c>
      <c r="L62" s="140">
        <v>5</v>
      </c>
      <c r="M62" s="96" t="s">
        <v>163</v>
      </c>
      <c r="N62" s="129"/>
      <c r="O62" s="171"/>
      <c r="P62" s="172"/>
    </row>
    <row r="63" spans="1:19" ht="15.75">
      <c r="B63" s="79">
        <v>1</v>
      </c>
      <c r="C63" s="401"/>
      <c r="D63" s="134" t="s">
        <v>58</v>
      </c>
      <c r="E63" s="81" t="s">
        <v>462</v>
      </c>
      <c r="F63" s="94" t="s">
        <v>463</v>
      </c>
      <c r="G63" s="131" t="s">
        <v>464</v>
      </c>
      <c r="H63" s="83"/>
      <c r="I63" s="84" t="s">
        <v>168</v>
      </c>
      <c r="J63" s="85">
        <v>37777</v>
      </c>
      <c r="K63" s="112" t="s">
        <v>465</v>
      </c>
      <c r="L63" s="140">
        <v>3</v>
      </c>
      <c r="M63" s="96" t="s">
        <v>315</v>
      </c>
      <c r="N63" s="129"/>
      <c r="O63" s="171"/>
      <c r="P63" s="172"/>
    </row>
    <row r="64" spans="1:19" ht="15.75">
      <c r="B64" s="79">
        <v>0</v>
      </c>
      <c r="C64" s="401"/>
      <c r="D64" s="134"/>
      <c r="E64" s="81"/>
      <c r="F64" s="94"/>
      <c r="G64" s="131"/>
      <c r="H64" s="83"/>
      <c r="I64" s="84"/>
      <c r="J64" s="85"/>
      <c r="K64" s="112"/>
      <c r="L64" s="140"/>
      <c r="M64" s="141"/>
      <c r="N64" s="129"/>
      <c r="O64" s="121"/>
      <c r="P64" s="122"/>
    </row>
    <row r="65" spans="2:16" ht="15.75">
      <c r="B65" s="79">
        <v>0</v>
      </c>
      <c r="C65" s="401"/>
      <c r="D65" s="163" t="s">
        <v>466</v>
      </c>
      <c r="E65" s="164" t="s">
        <v>467</v>
      </c>
      <c r="F65" s="165" t="s">
        <v>208</v>
      </c>
      <c r="G65" s="166" t="s">
        <v>468</v>
      </c>
      <c r="H65" s="167"/>
      <c r="I65" s="168"/>
      <c r="J65" s="169"/>
      <c r="K65" s="170"/>
      <c r="L65" s="140">
        <v>1</v>
      </c>
      <c r="M65" s="141" t="s">
        <v>277</v>
      </c>
      <c r="N65" s="129"/>
      <c r="O65" s="171"/>
      <c r="P65" s="172"/>
    </row>
    <row r="66" spans="2:16" ht="15.75">
      <c r="B66" s="79">
        <v>1</v>
      </c>
      <c r="C66" s="401"/>
      <c r="D66" s="134" t="s">
        <v>469</v>
      </c>
      <c r="E66" s="81" t="s">
        <v>470</v>
      </c>
      <c r="F66" s="94" t="s">
        <v>471</v>
      </c>
      <c r="G66" s="131" t="s">
        <v>472</v>
      </c>
      <c r="H66" s="83"/>
      <c r="I66" s="84" t="s">
        <v>168</v>
      </c>
      <c r="J66" s="85">
        <v>37777</v>
      </c>
      <c r="K66" s="162" t="s">
        <v>473</v>
      </c>
      <c r="L66" s="140">
        <v>4</v>
      </c>
      <c r="M66" s="96" t="s">
        <v>315</v>
      </c>
      <c r="N66" s="129"/>
      <c r="O66" s="171"/>
      <c r="P66" s="172"/>
    </row>
    <row r="67" spans="2:16" ht="15.75">
      <c r="B67" s="200">
        <v>0</v>
      </c>
      <c r="C67" s="402"/>
      <c r="D67" s="201" t="s">
        <v>474</v>
      </c>
      <c r="E67" s="202" t="s">
        <v>475</v>
      </c>
      <c r="F67" s="203" t="s">
        <v>208</v>
      </c>
      <c r="G67" s="204" t="s">
        <v>476</v>
      </c>
      <c r="H67" s="205"/>
      <c r="I67" s="206"/>
      <c r="J67" s="207"/>
      <c r="K67" s="208"/>
      <c r="L67" s="209">
        <v>1</v>
      </c>
      <c r="M67" s="181" t="s">
        <v>277</v>
      </c>
      <c r="N67" s="120"/>
      <c r="O67" s="182"/>
      <c r="P67" s="183"/>
    </row>
    <row r="68" spans="2:16" ht="15.75">
      <c r="B68" s="79">
        <v>1</v>
      </c>
      <c r="C68" s="400" t="s">
        <v>477</v>
      </c>
      <c r="D68" s="184" t="s">
        <v>62</v>
      </c>
      <c r="E68" s="150" t="s">
        <v>478</v>
      </c>
      <c r="F68" s="151"/>
      <c r="G68" s="152" t="s">
        <v>479</v>
      </c>
      <c r="H68" s="153"/>
      <c r="I68" s="154"/>
      <c r="J68" s="155">
        <v>4456</v>
      </c>
      <c r="K68" s="156" t="s">
        <v>480</v>
      </c>
      <c r="L68" s="157">
        <v>2</v>
      </c>
      <c r="M68" s="88" t="s">
        <v>481</v>
      </c>
      <c r="N68" s="132"/>
      <c r="O68" s="185"/>
      <c r="P68" s="186"/>
    </row>
    <row r="69" spans="2:16" ht="15.75">
      <c r="B69" s="79"/>
      <c r="C69" s="401"/>
      <c r="D69" s="134" t="s">
        <v>482</v>
      </c>
      <c r="E69" s="81" t="s">
        <v>483</v>
      </c>
      <c r="F69" s="94"/>
      <c r="G69" s="131" t="s">
        <v>484</v>
      </c>
      <c r="H69" s="83"/>
      <c r="I69" s="84" t="s">
        <v>168</v>
      </c>
      <c r="J69" s="85">
        <v>4456</v>
      </c>
      <c r="K69" s="112" t="s">
        <v>485</v>
      </c>
      <c r="L69" s="140">
        <v>2</v>
      </c>
      <c r="M69" s="210"/>
      <c r="N69" s="129"/>
      <c r="O69" s="171"/>
      <c r="P69" s="172"/>
    </row>
    <row r="70" spans="2:16" ht="15.75">
      <c r="B70" s="79"/>
      <c r="C70" s="401"/>
      <c r="D70" s="134"/>
      <c r="E70" s="81"/>
      <c r="F70" s="94"/>
      <c r="G70" s="131"/>
      <c r="H70" s="83"/>
      <c r="I70" s="84"/>
      <c r="J70" s="85"/>
      <c r="K70" s="112"/>
      <c r="L70" s="140"/>
      <c r="M70" s="210"/>
      <c r="N70" s="129"/>
      <c r="O70" s="171"/>
      <c r="P70" s="172"/>
    </row>
    <row r="71" spans="2:16" ht="15.75">
      <c r="B71" s="79"/>
      <c r="C71" s="401"/>
      <c r="D71" s="134"/>
      <c r="E71" s="81"/>
      <c r="F71" s="211"/>
      <c r="G71" s="83"/>
      <c r="H71" s="83"/>
      <c r="I71" s="83"/>
      <c r="J71" s="83"/>
      <c r="K71" s="83"/>
      <c r="L71" s="140"/>
      <c r="M71" s="141"/>
      <c r="N71" s="129"/>
      <c r="O71" s="121"/>
      <c r="P71" s="122"/>
    </row>
    <row r="72" spans="2:16" ht="15.75">
      <c r="B72" s="79"/>
      <c r="C72" s="401"/>
      <c r="D72" s="134"/>
      <c r="E72" s="81"/>
      <c r="F72" s="211"/>
      <c r="G72" s="83"/>
      <c r="H72" s="83"/>
      <c r="I72" s="83"/>
      <c r="J72" s="83"/>
      <c r="K72" s="83"/>
      <c r="L72" s="140"/>
      <c r="M72" s="141"/>
      <c r="N72" s="129"/>
      <c r="O72" s="171"/>
      <c r="P72" s="172"/>
    </row>
    <row r="73" spans="2:16" ht="15.75">
      <c r="B73" s="79"/>
      <c r="C73" s="401"/>
      <c r="D73" s="134"/>
      <c r="E73" s="81"/>
      <c r="F73" s="94"/>
      <c r="G73" s="131"/>
      <c r="H73" s="83"/>
      <c r="I73" s="84"/>
      <c r="J73" s="85"/>
      <c r="K73" s="162"/>
      <c r="L73" s="140"/>
      <c r="M73" s="210"/>
      <c r="N73" s="129"/>
      <c r="O73" s="171"/>
      <c r="P73" s="172"/>
    </row>
    <row r="74" spans="2:16" ht="15.75">
      <c r="B74" s="200"/>
      <c r="C74" s="402"/>
      <c r="D74" s="134"/>
      <c r="E74" s="81"/>
      <c r="F74" s="94"/>
      <c r="G74" s="83"/>
      <c r="H74" s="83"/>
      <c r="I74" s="83"/>
      <c r="J74" s="83"/>
      <c r="K74" s="83"/>
      <c r="L74" s="209"/>
      <c r="M74" s="181"/>
      <c r="N74" s="120"/>
      <c r="O74" s="182"/>
      <c r="P74" s="183"/>
    </row>
    <row r="75" spans="2:16">
      <c r="B75" s="53"/>
      <c r="E75" s="54"/>
      <c r="G75" s="52"/>
      <c r="H75" s="52"/>
      <c r="I75" s="55"/>
      <c r="J75" s="53"/>
      <c r="L75" s="53"/>
      <c r="P75" s="56"/>
    </row>
    <row r="76" spans="2:16" ht="15.75">
      <c r="B76" s="212"/>
      <c r="C76" s="213" t="s">
        <v>486</v>
      </c>
      <c r="D76" s="61" t="s">
        <v>487</v>
      </c>
      <c r="E76" s="70" t="s">
        <v>144</v>
      </c>
      <c r="F76" s="71" t="s">
        <v>145</v>
      </c>
      <c r="G76" s="72"/>
      <c r="H76" s="72"/>
      <c r="I76" s="72"/>
      <c r="J76" s="73"/>
      <c r="K76" s="74"/>
      <c r="L76" s="75"/>
      <c r="M76" s="76" t="s">
        <v>146</v>
      </c>
      <c r="N76" s="77" t="s">
        <v>147</v>
      </c>
      <c r="O76" s="77" t="s">
        <v>148</v>
      </c>
      <c r="P76" s="78"/>
    </row>
    <row r="77" spans="2:16" ht="15.75">
      <c r="B77" s="79">
        <v>1</v>
      </c>
      <c r="C77" s="92"/>
      <c r="D77" s="214" t="s">
        <v>65</v>
      </c>
      <c r="E77" s="150" t="s">
        <v>488</v>
      </c>
      <c r="F77" s="151"/>
      <c r="G77" s="153" t="s">
        <v>489</v>
      </c>
      <c r="H77" s="153" t="s">
        <v>490</v>
      </c>
      <c r="I77" s="154"/>
      <c r="J77" s="155"/>
      <c r="K77" s="215"/>
      <c r="L77" s="87">
        <v>9</v>
      </c>
      <c r="M77" s="141" t="s">
        <v>491</v>
      </c>
      <c r="N77" s="114" t="s">
        <v>170</v>
      </c>
      <c r="O77" s="216"/>
      <c r="P77" s="217" t="s">
        <v>157</v>
      </c>
    </row>
    <row r="78" spans="2:16" ht="15.75">
      <c r="B78" s="79">
        <v>1</v>
      </c>
      <c r="C78" s="100"/>
      <c r="D78" s="218" t="s">
        <v>492</v>
      </c>
      <c r="E78" s="81" t="s">
        <v>493</v>
      </c>
      <c r="F78" s="94" t="s">
        <v>494</v>
      </c>
      <c r="G78" s="83" t="s">
        <v>495</v>
      </c>
      <c r="H78" s="83" t="s">
        <v>496</v>
      </c>
      <c r="I78" s="84"/>
      <c r="J78" s="85">
        <v>4456</v>
      </c>
      <c r="K78" s="86" t="s">
        <v>497</v>
      </c>
      <c r="L78" s="95">
        <v>3</v>
      </c>
      <c r="M78" s="96" t="s">
        <v>355</v>
      </c>
      <c r="N78" s="160" t="s">
        <v>285</v>
      </c>
      <c r="O78" s="190"/>
      <c r="P78" s="138" t="s">
        <v>229</v>
      </c>
    </row>
    <row r="79" spans="2:16" ht="15.75">
      <c r="B79" s="212"/>
      <c r="C79" s="219"/>
      <c r="D79" s="61" t="s">
        <v>498</v>
      </c>
      <c r="E79" s="70" t="s">
        <v>144</v>
      </c>
      <c r="F79" s="71" t="s">
        <v>145</v>
      </c>
      <c r="G79" s="72"/>
      <c r="H79" s="72"/>
      <c r="I79" s="72"/>
      <c r="J79" s="73"/>
      <c r="K79" s="74"/>
      <c r="L79" s="75"/>
      <c r="M79" s="76" t="s">
        <v>146</v>
      </c>
      <c r="N79" s="77" t="s">
        <v>147</v>
      </c>
      <c r="O79" s="77" t="s">
        <v>148</v>
      </c>
      <c r="P79" s="78"/>
    </row>
    <row r="80" spans="2:16" ht="15.75">
      <c r="B80" s="79">
        <v>1</v>
      </c>
      <c r="C80" s="403" t="s">
        <v>499</v>
      </c>
      <c r="D80" s="214" t="s">
        <v>68</v>
      </c>
      <c r="E80" s="150" t="s">
        <v>500</v>
      </c>
      <c r="F80" s="151"/>
      <c r="G80" s="153"/>
      <c r="H80" s="153" t="s">
        <v>501</v>
      </c>
      <c r="I80" s="154"/>
      <c r="J80" s="155"/>
      <c r="K80" s="215"/>
      <c r="L80" s="87">
        <v>8</v>
      </c>
      <c r="M80" s="141" t="s">
        <v>502</v>
      </c>
      <c r="N80" s="114" t="s">
        <v>170</v>
      </c>
      <c r="O80" s="220" t="s">
        <v>171</v>
      </c>
      <c r="P80" s="217" t="s">
        <v>157</v>
      </c>
    </row>
    <row r="81" spans="1:16" ht="15.75">
      <c r="B81" s="79">
        <v>1</v>
      </c>
      <c r="C81" s="403"/>
      <c r="D81" s="218" t="s">
        <v>503</v>
      </c>
      <c r="E81" s="81" t="s">
        <v>504</v>
      </c>
      <c r="F81" s="94"/>
      <c r="G81" s="83" t="s">
        <v>505</v>
      </c>
      <c r="H81" s="83"/>
      <c r="I81" s="84"/>
      <c r="J81" s="85"/>
      <c r="K81" s="86"/>
      <c r="L81" s="95">
        <v>3</v>
      </c>
      <c r="M81" s="96" t="s">
        <v>315</v>
      </c>
      <c r="N81" s="129"/>
      <c r="O81" s="220" t="s">
        <v>171</v>
      </c>
      <c r="P81" s="221"/>
    </row>
    <row r="82" spans="1:16" ht="15.75">
      <c r="A82">
        <v>1</v>
      </c>
      <c r="B82" s="79"/>
      <c r="C82" s="403"/>
      <c r="D82" s="163" t="s">
        <v>506</v>
      </c>
      <c r="E82" s="164" t="s">
        <v>507</v>
      </c>
      <c r="F82" s="165"/>
      <c r="G82" s="166" t="s">
        <v>508</v>
      </c>
      <c r="H82" s="167"/>
      <c r="I82" s="168"/>
      <c r="J82" s="169"/>
      <c r="K82" s="170"/>
      <c r="L82" s="95">
        <v>1</v>
      </c>
      <c r="M82" s="141" t="s">
        <v>277</v>
      </c>
      <c r="N82" s="129"/>
      <c r="O82" s="190"/>
      <c r="P82" s="191"/>
    </row>
    <row r="83" spans="1:16" ht="15.75">
      <c r="A83">
        <v>1</v>
      </c>
      <c r="B83" s="79"/>
      <c r="C83" s="403"/>
      <c r="D83" s="222" t="s">
        <v>509</v>
      </c>
      <c r="E83" s="164"/>
      <c r="F83" s="165"/>
      <c r="G83" s="167" t="s">
        <v>510</v>
      </c>
      <c r="H83" s="167"/>
      <c r="I83" s="168"/>
      <c r="J83" s="169">
        <v>37777</v>
      </c>
      <c r="K83" s="223"/>
      <c r="L83" s="95">
        <v>1</v>
      </c>
      <c r="M83" s="96" t="s">
        <v>511</v>
      </c>
      <c r="N83" s="129"/>
      <c r="O83" s="190"/>
      <c r="P83" s="191"/>
    </row>
    <row r="84" spans="1:16" ht="15.75">
      <c r="B84" s="200">
        <v>1</v>
      </c>
      <c r="C84" s="404"/>
      <c r="D84" s="224" t="s">
        <v>512</v>
      </c>
      <c r="E84" s="102" t="s">
        <v>513</v>
      </c>
      <c r="F84" s="103"/>
      <c r="G84" s="104" t="s">
        <v>514</v>
      </c>
      <c r="H84" s="104"/>
      <c r="I84" s="105"/>
      <c r="J84" s="106"/>
      <c r="K84" s="107"/>
      <c r="L84" s="209">
        <v>2</v>
      </c>
      <c r="M84" s="109" t="s">
        <v>315</v>
      </c>
      <c r="N84" s="146" t="s">
        <v>285</v>
      </c>
      <c r="O84" s="190"/>
      <c r="P84" s="138" t="s">
        <v>229</v>
      </c>
    </row>
    <row r="85" spans="1:16" ht="15.75">
      <c r="B85" s="225"/>
      <c r="C85" s="226"/>
      <c r="D85" s="62" t="s">
        <v>515</v>
      </c>
      <c r="E85" s="70" t="s">
        <v>144</v>
      </c>
      <c r="F85" s="71" t="s">
        <v>145</v>
      </c>
      <c r="G85" s="72"/>
      <c r="H85" s="72"/>
      <c r="I85" s="72"/>
      <c r="J85" s="73"/>
      <c r="K85" s="74"/>
      <c r="L85" s="75"/>
      <c r="M85" s="76" t="s">
        <v>146</v>
      </c>
      <c r="N85" s="77" t="s">
        <v>147</v>
      </c>
      <c r="O85" s="77" t="s">
        <v>148</v>
      </c>
      <c r="P85" s="78"/>
    </row>
    <row r="86" spans="1:16" ht="15.75">
      <c r="B86" s="227">
        <v>1</v>
      </c>
      <c r="C86" s="405" t="s">
        <v>516</v>
      </c>
      <c r="D86" s="228" t="s">
        <v>517</v>
      </c>
      <c r="E86" s="150" t="s">
        <v>518</v>
      </c>
      <c r="F86" s="151"/>
      <c r="G86" s="152" t="s">
        <v>519</v>
      </c>
      <c r="H86" s="153" t="s">
        <v>520</v>
      </c>
      <c r="I86" s="154"/>
      <c r="J86" s="155"/>
      <c r="K86" s="156"/>
      <c r="L86" s="229">
        <v>17</v>
      </c>
      <c r="M86" s="141" t="s">
        <v>521</v>
      </c>
      <c r="N86" s="114" t="s">
        <v>170</v>
      </c>
      <c r="O86" s="190"/>
      <c r="P86" s="217" t="s">
        <v>157</v>
      </c>
    </row>
    <row r="87" spans="1:16" ht="15.75">
      <c r="B87" s="227">
        <v>1</v>
      </c>
      <c r="C87" s="405"/>
      <c r="D87" s="230" t="s">
        <v>522</v>
      </c>
      <c r="E87" s="81" t="s">
        <v>523</v>
      </c>
      <c r="F87" s="94"/>
      <c r="G87" s="131" t="s">
        <v>524</v>
      </c>
      <c r="H87" s="83" t="s">
        <v>525</v>
      </c>
      <c r="I87" s="84"/>
      <c r="J87" s="85"/>
      <c r="K87" s="112"/>
      <c r="L87" s="229">
        <v>5</v>
      </c>
      <c r="M87" s="96" t="s">
        <v>315</v>
      </c>
      <c r="N87" s="129"/>
      <c r="O87" s="220" t="s">
        <v>171</v>
      </c>
      <c r="P87" s="221"/>
    </row>
    <row r="88" spans="1:16" ht="15.75">
      <c r="B88" s="227">
        <v>1</v>
      </c>
      <c r="C88" s="405"/>
      <c r="D88" s="230" t="s">
        <v>526</v>
      </c>
      <c r="E88" s="81" t="s">
        <v>527</v>
      </c>
      <c r="F88" s="94"/>
      <c r="G88" s="131" t="s">
        <v>528</v>
      </c>
      <c r="H88" s="83"/>
      <c r="I88" s="84"/>
      <c r="J88" s="85"/>
      <c r="K88" s="112"/>
      <c r="L88" s="229">
        <v>3</v>
      </c>
      <c r="M88" s="141" t="s">
        <v>529</v>
      </c>
      <c r="N88" s="129"/>
      <c r="O88" s="220" t="s">
        <v>171</v>
      </c>
      <c r="P88" s="221"/>
    </row>
    <row r="89" spans="1:16" ht="15.75">
      <c r="B89" s="227">
        <v>1</v>
      </c>
      <c r="C89" s="405"/>
      <c r="D89" s="230" t="s">
        <v>530</v>
      </c>
      <c r="E89" s="81" t="s">
        <v>531</v>
      </c>
      <c r="F89" s="94"/>
      <c r="G89" s="131" t="s">
        <v>532</v>
      </c>
      <c r="H89" s="83"/>
      <c r="I89" s="84"/>
      <c r="J89" s="85"/>
      <c r="K89" s="112"/>
      <c r="L89" s="229">
        <v>8</v>
      </c>
      <c r="M89" s="96" t="s">
        <v>315</v>
      </c>
      <c r="N89" s="129"/>
      <c r="O89" s="220" t="s">
        <v>171</v>
      </c>
      <c r="P89" s="221"/>
    </row>
    <row r="90" spans="1:16" ht="15.75">
      <c r="B90" s="227">
        <v>1</v>
      </c>
      <c r="C90" s="405"/>
      <c r="D90" s="230" t="s">
        <v>533</v>
      </c>
      <c r="E90" s="81" t="s">
        <v>534</v>
      </c>
      <c r="F90" s="94" t="s">
        <v>535</v>
      </c>
      <c r="G90" s="131" t="s">
        <v>536</v>
      </c>
      <c r="H90" s="83"/>
      <c r="I90" s="84"/>
      <c r="J90" s="85"/>
      <c r="K90" s="112" t="s">
        <v>537</v>
      </c>
      <c r="L90" s="229">
        <v>4</v>
      </c>
      <c r="M90" s="141"/>
      <c r="N90" s="129"/>
      <c r="O90" s="190"/>
      <c r="P90" s="221" t="s">
        <v>153</v>
      </c>
    </row>
    <row r="91" spans="1:16" ht="15.75">
      <c r="B91" s="227">
        <v>1</v>
      </c>
      <c r="C91" s="405"/>
      <c r="D91" s="230" t="s">
        <v>538</v>
      </c>
      <c r="E91" s="81" t="s">
        <v>539</v>
      </c>
      <c r="F91" s="94" t="s">
        <v>540</v>
      </c>
      <c r="G91" s="131" t="s">
        <v>541</v>
      </c>
      <c r="H91" s="83"/>
      <c r="I91" s="84"/>
      <c r="J91" s="85"/>
      <c r="K91" s="112" t="s">
        <v>542</v>
      </c>
      <c r="L91" s="229">
        <v>3</v>
      </c>
      <c r="M91" s="96" t="s">
        <v>286</v>
      </c>
      <c r="N91" s="129"/>
      <c r="O91" s="190"/>
      <c r="P91" s="221" t="s">
        <v>153</v>
      </c>
    </row>
    <row r="92" spans="1:16" ht="15.75">
      <c r="A92">
        <v>1</v>
      </c>
      <c r="B92" s="227"/>
      <c r="C92" s="406"/>
      <c r="D92" s="224" t="s">
        <v>543</v>
      </c>
      <c r="E92" s="102" t="s">
        <v>544</v>
      </c>
      <c r="F92" s="103"/>
      <c r="G92" s="143"/>
      <c r="H92" s="104"/>
      <c r="I92" s="105"/>
      <c r="J92" s="106"/>
      <c r="K92" s="144"/>
      <c r="L92" s="231">
        <v>1</v>
      </c>
      <c r="M92" s="109" t="s">
        <v>545</v>
      </c>
      <c r="N92" s="120"/>
      <c r="O92" s="220"/>
      <c r="P92" s="221" t="s">
        <v>153</v>
      </c>
    </row>
    <row r="93" spans="1:16" ht="15.75">
      <c r="B93" s="212"/>
      <c r="C93" s="232"/>
      <c r="D93" s="61" t="s">
        <v>546</v>
      </c>
      <c r="E93" s="70" t="s">
        <v>144</v>
      </c>
      <c r="F93" s="71" t="s">
        <v>145</v>
      </c>
      <c r="G93" s="72"/>
      <c r="H93" s="72"/>
      <c r="I93" s="72"/>
      <c r="J93" s="73"/>
      <c r="K93" s="74"/>
      <c r="L93" s="75"/>
      <c r="M93" s="76" t="s">
        <v>146</v>
      </c>
      <c r="N93" s="77" t="s">
        <v>147</v>
      </c>
      <c r="O93" s="77" t="s">
        <v>148</v>
      </c>
      <c r="P93" s="78"/>
    </row>
    <row r="94" spans="1:16" ht="15.75">
      <c r="B94" s="79">
        <v>2</v>
      </c>
      <c r="C94" s="407" t="s">
        <v>547</v>
      </c>
      <c r="D94" s="214" t="s">
        <v>548</v>
      </c>
      <c r="E94" s="150" t="s">
        <v>549</v>
      </c>
      <c r="F94" s="151"/>
      <c r="G94" s="152"/>
      <c r="H94" s="153" t="s">
        <v>550</v>
      </c>
      <c r="I94" s="154"/>
      <c r="J94" s="155"/>
      <c r="K94" s="156"/>
      <c r="L94" s="229">
        <v>14</v>
      </c>
      <c r="M94" s="141" t="s">
        <v>551</v>
      </c>
      <c r="N94" s="114" t="s">
        <v>170</v>
      </c>
      <c r="O94" s="220" t="s">
        <v>171</v>
      </c>
      <c r="P94" s="217" t="s">
        <v>157</v>
      </c>
    </row>
    <row r="95" spans="1:16" ht="15.75">
      <c r="B95" s="79">
        <v>1</v>
      </c>
      <c r="C95" s="405"/>
      <c r="D95" s="117" t="s">
        <v>552</v>
      </c>
      <c r="E95" s="81" t="s">
        <v>553</v>
      </c>
      <c r="F95" s="94" t="s">
        <v>554</v>
      </c>
      <c r="G95" s="131" t="s">
        <v>555</v>
      </c>
      <c r="H95" s="83" t="s">
        <v>556</v>
      </c>
      <c r="I95" s="84" t="s">
        <v>168</v>
      </c>
      <c r="J95" s="85">
        <v>37777</v>
      </c>
      <c r="K95" s="112" t="s">
        <v>557</v>
      </c>
      <c r="L95" s="229">
        <v>3</v>
      </c>
      <c r="M95" s="96" t="s">
        <v>455</v>
      </c>
      <c r="N95" s="129"/>
      <c r="O95" s="220" t="s">
        <v>171</v>
      </c>
      <c r="P95" s="221" t="s">
        <v>153</v>
      </c>
    </row>
    <row r="96" spans="1:16" ht="15.75">
      <c r="B96" s="79"/>
      <c r="C96" s="405"/>
      <c r="D96" s="233" t="s">
        <v>558</v>
      </c>
      <c r="E96" s="81" t="s">
        <v>559</v>
      </c>
      <c r="F96" s="94" t="s">
        <v>560</v>
      </c>
      <c r="G96" s="131" t="s">
        <v>561</v>
      </c>
      <c r="H96" s="83" t="s">
        <v>562</v>
      </c>
      <c r="I96" s="84" t="s">
        <v>168</v>
      </c>
      <c r="J96" s="85">
        <v>37777</v>
      </c>
      <c r="K96" s="112" t="s">
        <v>563</v>
      </c>
      <c r="L96" s="229">
        <v>0</v>
      </c>
      <c r="M96" s="210"/>
      <c r="N96" s="129"/>
      <c r="O96" s="190"/>
      <c r="P96" s="191"/>
    </row>
    <row r="97" spans="2:17" ht="15.75">
      <c r="B97" s="79">
        <v>1</v>
      </c>
      <c r="C97" s="405"/>
      <c r="D97" s="117" t="s">
        <v>564</v>
      </c>
      <c r="E97" s="81" t="s">
        <v>565</v>
      </c>
      <c r="F97" s="94" t="s">
        <v>566</v>
      </c>
      <c r="G97" s="131" t="s">
        <v>567</v>
      </c>
      <c r="H97" s="83"/>
      <c r="I97" s="84" t="s">
        <v>168</v>
      </c>
      <c r="J97" s="85">
        <v>37777</v>
      </c>
      <c r="K97" s="112" t="s">
        <v>568</v>
      </c>
      <c r="L97" s="229">
        <v>2</v>
      </c>
      <c r="M97" s="96" t="s">
        <v>286</v>
      </c>
      <c r="N97" s="129"/>
      <c r="O97" s="220"/>
      <c r="P97" s="221"/>
    </row>
    <row r="98" spans="2:17" ht="15.75">
      <c r="B98" s="79">
        <v>1</v>
      </c>
      <c r="C98" s="405"/>
      <c r="D98" s="117" t="s">
        <v>569</v>
      </c>
      <c r="E98" s="81" t="s">
        <v>570</v>
      </c>
      <c r="F98" s="94"/>
      <c r="G98" s="131" t="s">
        <v>571</v>
      </c>
      <c r="H98" s="83" t="s">
        <v>572</v>
      </c>
      <c r="I98" s="84"/>
      <c r="J98" s="85"/>
      <c r="K98" s="112"/>
      <c r="L98" s="229">
        <v>2</v>
      </c>
      <c r="M98" s="96" t="s">
        <v>355</v>
      </c>
      <c r="N98" s="129"/>
      <c r="O98" s="220" t="s">
        <v>171</v>
      </c>
      <c r="P98" s="221" t="s">
        <v>153</v>
      </c>
    </row>
    <row r="99" spans="2:17" ht="15.75">
      <c r="B99" s="79">
        <v>1</v>
      </c>
      <c r="C99" s="405"/>
      <c r="D99" s="117" t="s">
        <v>573</v>
      </c>
      <c r="E99" s="81" t="s">
        <v>574</v>
      </c>
      <c r="F99" s="94"/>
      <c r="G99" s="131"/>
      <c r="H99" s="83"/>
      <c r="I99" s="84"/>
      <c r="J99" s="85"/>
      <c r="K99" s="112"/>
      <c r="L99" s="229">
        <v>2</v>
      </c>
      <c r="M99" s="96" t="s">
        <v>455</v>
      </c>
      <c r="N99" s="129"/>
      <c r="O99" s="220"/>
      <c r="P99" s="138" t="s">
        <v>229</v>
      </c>
    </row>
    <row r="100" spans="2:17" ht="15.75">
      <c r="B100" s="79">
        <v>1</v>
      </c>
      <c r="C100" s="405"/>
      <c r="D100" s="117" t="s">
        <v>84</v>
      </c>
      <c r="E100" s="81" t="s">
        <v>575</v>
      </c>
      <c r="F100" s="94"/>
      <c r="G100" s="131" t="s">
        <v>576</v>
      </c>
      <c r="H100" s="83"/>
      <c r="I100" s="84"/>
      <c r="J100" s="85"/>
      <c r="K100" s="112"/>
      <c r="L100" s="229">
        <v>2</v>
      </c>
      <c r="M100" s="96" t="s">
        <v>315</v>
      </c>
      <c r="N100" s="129"/>
      <c r="O100" s="220" t="s">
        <v>171</v>
      </c>
      <c r="P100" s="138" t="s">
        <v>229</v>
      </c>
    </row>
    <row r="101" spans="2:17" ht="15.75">
      <c r="B101" s="200">
        <v>1</v>
      </c>
      <c r="C101" s="406"/>
      <c r="D101" s="224" t="s">
        <v>577</v>
      </c>
      <c r="E101" s="102" t="s">
        <v>578</v>
      </c>
      <c r="F101" s="103"/>
      <c r="G101" s="143" t="s">
        <v>579</v>
      </c>
      <c r="H101" s="104"/>
      <c r="I101" s="105"/>
      <c r="J101" s="106"/>
      <c r="K101" s="144"/>
      <c r="L101" s="231">
        <v>2</v>
      </c>
      <c r="M101" s="109" t="s">
        <v>315</v>
      </c>
      <c r="N101" s="120"/>
      <c r="O101" s="220" t="s">
        <v>171</v>
      </c>
      <c r="P101" s="221" t="s">
        <v>153</v>
      </c>
    </row>
    <row r="102" spans="2:17" ht="15.75">
      <c r="B102" s="212"/>
      <c r="C102" s="397" t="s">
        <v>580</v>
      </c>
      <c r="D102" s="61" t="s">
        <v>581</v>
      </c>
      <c r="E102" s="70" t="s">
        <v>144</v>
      </c>
      <c r="F102" s="71" t="s">
        <v>145</v>
      </c>
      <c r="G102" s="72"/>
      <c r="H102" s="72"/>
      <c r="I102" s="72"/>
      <c r="J102" s="73"/>
      <c r="K102" s="74"/>
      <c r="L102" s="75"/>
      <c r="M102" s="76" t="s">
        <v>146</v>
      </c>
      <c r="N102" s="77" t="s">
        <v>147</v>
      </c>
      <c r="O102" s="77" t="s">
        <v>148</v>
      </c>
      <c r="P102" s="78"/>
    </row>
    <row r="103" spans="2:17" ht="15.75">
      <c r="B103" s="79">
        <v>1</v>
      </c>
      <c r="C103" s="398"/>
      <c r="D103" s="214" t="s">
        <v>87</v>
      </c>
      <c r="E103" s="150" t="s">
        <v>582</v>
      </c>
      <c r="F103" s="151"/>
      <c r="G103" s="153" t="s">
        <v>583</v>
      </c>
      <c r="H103" s="153" t="s">
        <v>584</v>
      </c>
      <c r="I103" s="154"/>
      <c r="J103" s="155"/>
      <c r="K103" s="215"/>
      <c r="L103" s="87">
        <v>9</v>
      </c>
      <c r="M103" s="141" t="s">
        <v>551</v>
      </c>
      <c r="N103" s="114" t="s">
        <v>170</v>
      </c>
      <c r="O103" s="190"/>
      <c r="P103" s="217" t="s">
        <v>157</v>
      </c>
    </row>
    <row r="104" spans="2:17" ht="15.75">
      <c r="B104" s="79">
        <v>1</v>
      </c>
      <c r="C104" s="398"/>
      <c r="D104" s="117" t="s">
        <v>585</v>
      </c>
      <c r="E104" s="81" t="s">
        <v>586</v>
      </c>
      <c r="F104" s="94" t="s">
        <v>587</v>
      </c>
      <c r="G104" s="83" t="s">
        <v>588</v>
      </c>
      <c r="H104" s="83" t="s">
        <v>589</v>
      </c>
      <c r="I104" s="84" t="s">
        <v>168</v>
      </c>
      <c r="J104" s="85">
        <v>37777</v>
      </c>
      <c r="K104" s="86" t="s">
        <v>426</v>
      </c>
      <c r="L104" s="95">
        <v>3</v>
      </c>
      <c r="M104" s="96" t="s">
        <v>315</v>
      </c>
      <c r="N104" s="129"/>
      <c r="O104" s="190"/>
      <c r="P104" s="191"/>
    </row>
    <row r="105" spans="2:17" ht="15.75">
      <c r="B105" s="200">
        <v>1</v>
      </c>
      <c r="C105" s="399"/>
      <c r="D105" s="224" t="s">
        <v>590</v>
      </c>
      <c r="E105" s="102" t="s">
        <v>591</v>
      </c>
      <c r="F105" s="103"/>
      <c r="G105" s="104" t="s">
        <v>592</v>
      </c>
      <c r="H105" s="104" t="s">
        <v>593</v>
      </c>
      <c r="I105" s="105"/>
      <c r="J105" s="106"/>
      <c r="K105" s="107"/>
      <c r="L105" s="108">
        <v>3</v>
      </c>
      <c r="M105" s="109" t="s">
        <v>315</v>
      </c>
      <c r="N105" s="120"/>
      <c r="O105" s="190"/>
      <c r="P105" s="191"/>
    </row>
    <row r="106" spans="2:17" ht="15.75">
      <c r="B106" s="212">
        <v>1</v>
      </c>
      <c r="C106" s="234" t="s">
        <v>594</v>
      </c>
      <c r="D106" s="214" t="s">
        <v>595</v>
      </c>
      <c r="E106" s="150" t="s">
        <v>596</v>
      </c>
      <c r="F106" s="151" t="s">
        <v>597</v>
      </c>
      <c r="G106" s="153" t="s">
        <v>598</v>
      </c>
      <c r="H106" s="153" t="s">
        <v>599</v>
      </c>
      <c r="I106" s="154" t="s">
        <v>168</v>
      </c>
      <c r="J106" s="155" t="s">
        <v>168</v>
      </c>
      <c r="K106" s="215" t="s">
        <v>600</v>
      </c>
      <c r="L106" s="87">
        <v>6</v>
      </c>
      <c r="M106" s="88" t="s">
        <v>315</v>
      </c>
      <c r="N106" s="114" t="s">
        <v>170</v>
      </c>
      <c r="O106" s="216"/>
      <c r="P106" s="235" t="s">
        <v>157</v>
      </c>
    </row>
    <row r="107" spans="2:17" ht="15.75">
      <c r="B107" s="79">
        <v>1</v>
      </c>
      <c r="C107" s="236"/>
      <c r="D107" s="224" t="s">
        <v>88</v>
      </c>
      <c r="E107" s="237" t="s">
        <v>601</v>
      </c>
      <c r="F107" s="238" t="s">
        <v>602</v>
      </c>
      <c r="G107" s="104" t="s">
        <v>603</v>
      </c>
      <c r="H107" s="104"/>
      <c r="I107" s="105" t="s">
        <v>208</v>
      </c>
      <c r="J107" s="106">
        <v>37777</v>
      </c>
      <c r="K107" s="239" t="s">
        <v>604</v>
      </c>
      <c r="L107" s="108">
        <v>4</v>
      </c>
      <c r="M107" s="96" t="s">
        <v>315</v>
      </c>
      <c r="N107" s="114" t="s">
        <v>170</v>
      </c>
      <c r="O107" s="240"/>
      <c r="P107" s="241" t="s">
        <v>157</v>
      </c>
    </row>
    <row r="108" spans="2:17" ht="15.75">
      <c r="B108" s="212">
        <v>1</v>
      </c>
      <c r="C108" s="397" t="s">
        <v>605</v>
      </c>
      <c r="D108" s="117" t="s">
        <v>606</v>
      </c>
      <c r="E108" s="81" t="s">
        <v>607</v>
      </c>
      <c r="F108" s="94"/>
      <c r="G108" s="131" t="s">
        <v>608</v>
      </c>
      <c r="H108" s="83" t="s">
        <v>609</v>
      </c>
      <c r="I108" s="84"/>
      <c r="J108" s="85"/>
      <c r="K108" s="112"/>
      <c r="L108" s="229">
        <v>4</v>
      </c>
      <c r="M108" s="88" t="s">
        <v>315</v>
      </c>
      <c r="N108" s="132"/>
      <c r="O108" s="190"/>
      <c r="P108" s="191"/>
    </row>
    <row r="109" spans="2:17" ht="15.75">
      <c r="B109" s="79">
        <v>1</v>
      </c>
      <c r="C109" s="398"/>
      <c r="D109" s="117" t="s">
        <v>90</v>
      </c>
      <c r="E109" s="81" t="s">
        <v>610</v>
      </c>
      <c r="F109" s="94" t="s">
        <v>611</v>
      </c>
      <c r="G109" s="131" t="s">
        <v>519</v>
      </c>
      <c r="H109" s="83" t="s">
        <v>612</v>
      </c>
      <c r="I109" s="84" t="s">
        <v>168</v>
      </c>
      <c r="J109" s="85">
        <v>37777</v>
      </c>
      <c r="K109" s="112" t="s">
        <v>613</v>
      </c>
      <c r="L109" s="229">
        <v>4</v>
      </c>
      <c r="M109" s="96" t="s">
        <v>315</v>
      </c>
      <c r="N109" s="114" t="s">
        <v>170</v>
      </c>
      <c r="O109" s="190"/>
      <c r="P109" s="217" t="s">
        <v>157</v>
      </c>
    </row>
    <row r="110" spans="2:17" ht="15.75">
      <c r="B110" s="79">
        <v>1</v>
      </c>
      <c r="C110" s="398"/>
      <c r="D110" s="117" t="s">
        <v>614</v>
      </c>
      <c r="E110" s="81" t="s">
        <v>615</v>
      </c>
      <c r="F110" s="94" t="s">
        <v>616</v>
      </c>
      <c r="G110" s="131" t="s">
        <v>617</v>
      </c>
      <c r="H110" s="83"/>
      <c r="I110" s="84" t="s">
        <v>168</v>
      </c>
      <c r="J110" s="85">
        <v>37777</v>
      </c>
      <c r="K110" s="112" t="s">
        <v>618</v>
      </c>
      <c r="L110" s="229">
        <v>4</v>
      </c>
      <c r="M110" s="96" t="s">
        <v>315</v>
      </c>
      <c r="N110" s="114" t="s">
        <v>170</v>
      </c>
      <c r="O110" s="190"/>
      <c r="P110" s="217" t="s">
        <v>157</v>
      </c>
    </row>
    <row r="111" spans="2:17" ht="15.75">
      <c r="B111" s="79">
        <v>1</v>
      </c>
      <c r="C111" s="398"/>
      <c r="D111" s="117" t="s">
        <v>619</v>
      </c>
      <c r="E111" s="81" t="s">
        <v>620</v>
      </c>
      <c r="F111" s="94"/>
      <c r="G111" s="131"/>
      <c r="H111" s="83"/>
      <c r="I111" s="84"/>
      <c r="J111" s="85"/>
      <c r="K111" s="112"/>
      <c r="L111" s="229">
        <v>2</v>
      </c>
      <c r="M111" s="96" t="s">
        <v>355</v>
      </c>
      <c r="N111" s="114"/>
      <c r="O111" s="190"/>
      <c r="P111" s="221" t="s">
        <v>153</v>
      </c>
      <c r="Q111" t="s">
        <v>346</v>
      </c>
    </row>
    <row r="112" spans="2:17" ht="15.75">
      <c r="B112" s="79">
        <v>1</v>
      </c>
      <c r="C112" s="398"/>
      <c r="D112" s="117" t="s">
        <v>621</v>
      </c>
      <c r="E112" s="81" t="s">
        <v>622</v>
      </c>
      <c r="F112" s="94" t="s">
        <v>623</v>
      </c>
      <c r="G112" s="131"/>
      <c r="H112" s="83" t="s">
        <v>624</v>
      </c>
      <c r="I112" s="84" t="s">
        <v>168</v>
      </c>
      <c r="J112" s="85">
        <v>4456</v>
      </c>
      <c r="K112" s="112" t="s">
        <v>625</v>
      </c>
      <c r="L112" s="229">
        <v>2</v>
      </c>
      <c r="M112" s="96"/>
      <c r="N112" s="114"/>
      <c r="O112" s="190" t="s">
        <v>171</v>
      </c>
      <c r="P112" s="221" t="s">
        <v>229</v>
      </c>
    </row>
    <row r="113" spans="1:16" ht="15.75">
      <c r="B113" s="79">
        <v>1</v>
      </c>
      <c r="C113" s="398"/>
      <c r="D113" s="117" t="s">
        <v>626</v>
      </c>
      <c r="E113" s="81" t="s">
        <v>627</v>
      </c>
      <c r="F113" s="94"/>
      <c r="G113" s="131"/>
      <c r="H113" s="83"/>
      <c r="I113" s="84"/>
      <c r="J113" s="85"/>
      <c r="K113" s="112"/>
      <c r="L113" s="229">
        <v>2</v>
      </c>
      <c r="M113" s="96" t="s">
        <v>355</v>
      </c>
      <c r="N113" s="114"/>
      <c r="O113" s="190"/>
      <c r="P113" s="138" t="s">
        <v>229</v>
      </c>
    </row>
    <row r="114" spans="1:16" ht="15.75">
      <c r="B114" s="79">
        <v>1</v>
      </c>
      <c r="C114" s="398"/>
      <c r="D114" s="117" t="s">
        <v>94</v>
      </c>
      <c r="E114" s="81" t="s">
        <v>628</v>
      </c>
      <c r="F114" s="94"/>
      <c r="G114" s="131" t="s">
        <v>629</v>
      </c>
      <c r="H114" s="83"/>
      <c r="I114" s="84"/>
      <c r="J114" s="85"/>
      <c r="K114" s="112"/>
      <c r="L114" s="229">
        <v>2</v>
      </c>
      <c r="M114" s="96" t="s">
        <v>315</v>
      </c>
      <c r="N114" s="129"/>
      <c r="O114" s="190"/>
      <c r="P114" s="138" t="s">
        <v>229</v>
      </c>
    </row>
    <row r="115" spans="1:16" ht="15.75">
      <c r="B115" s="79">
        <v>1</v>
      </c>
      <c r="C115" s="399"/>
      <c r="D115" s="224" t="s">
        <v>630</v>
      </c>
      <c r="E115" s="118" t="s">
        <v>631</v>
      </c>
      <c r="F115" s="82" t="s">
        <v>632</v>
      </c>
      <c r="G115" s="131" t="s">
        <v>633</v>
      </c>
      <c r="H115" s="83" t="s">
        <v>634</v>
      </c>
      <c r="I115" s="84" t="s">
        <v>168</v>
      </c>
      <c r="J115" s="85">
        <v>4455</v>
      </c>
      <c r="K115" s="119" t="s">
        <v>635</v>
      </c>
      <c r="L115" s="231">
        <v>4</v>
      </c>
      <c r="M115" s="109" t="s">
        <v>355</v>
      </c>
      <c r="N115" s="120"/>
      <c r="O115" s="190"/>
      <c r="P115" s="217" t="s">
        <v>157</v>
      </c>
    </row>
    <row r="116" spans="1:16" ht="15.75">
      <c r="B116" s="212"/>
      <c r="C116" s="76"/>
      <c r="D116" s="61" t="s">
        <v>636</v>
      </c>
      <c r="E116" s="70" t="s">
        <v>144</v>
      </c>
      <c r="F116" s="71" t="s">
        <v>145</v>
      </c>
      <c r="G116" s="72"/>
      <c r="H116" s="72"/>
      <c r="I116" s="72"/>
      <c r="J116" s="73"/>
      <c r="K116" s="74"/>
      <c r="L116" s="75"/>
      <c r="M116" s="76" t="s">
        <v>146</v>
      </c>
      <c r="N116" s="77" t="s">
        <v>147</v>
      </c>
      <c r="O116" s="77" t="s">
        <v>148</v>
      </c>
      <c r="P116" s="78"/>
    </row>
    <row r="117" spans="1:16" ht="15.75">
      <c r="A117">
        <v>1</v>
      </c>
      <c r="B117" s="79"/>
      <c r="C117" s="242"/>
      <c r="D117" s="117" t="s">
        <v>637</v>
      </c>
      <c r="E117" s="81" t="s">
        <v>638</v>
      </c>
      <c r="F117" s="94"/>
      <c r="G117" s="131" t="s">
        <v>639</v>
      </c>
      <c r="H117" s="83"/>
      <c r="I117" s="84"/>
      <c r="J117" s="85"/>
      <c r="K117" s="112"/>
      <c r="L117" s="157">
        <v>3</v>
      </c>
      <c r="M117" s="243"/>
      <c r="N117" s="244"/>
      <c r="O117" s="216"/>
      <c r="P117" s="221" t="s">
        <v>153</v>
      </c>
    </row>
    <row r="118" spans="1:16" ht="15.75">
      <c r="B118" s="79"/>
      <c r="C118" s="242"/>
      <c r="D118" s="117" t="s">
        <v>640</v>
      </c>
      <c r="E118" s="81" t="s">
        <v>641</v>
      </c>
      <c r="F118" s="94"/>
      <c r="G118" s="131"/>
      <c r="H118" s="83"/>
      <c r="I118" s="84"/>
      <c r="J118" s="85"/>
      <c r="K118" s="112"/>
      <c r="L118" s="140"/>
      <c r="M118" s="210"/>
      <c r="N118" s="245"/>
      <c r="O118" s="190"/>
      <c r="P118" s="191"/>
    </row>
    <row r="119" spans="1:16" ht="15.75">
      <c r="B119" s="79">
        <v>1</v>
      </c>
      <c r="C119" s="242"/>
      <c r="D119" s="117" t="s">
        <v>107</v>
      </c>
      <c r="E119" s="81" t="s">
        <v>642</v>
      </c>
      <c r="F119" s="94" t="s">
        <v>643</v>
      </c>
      <c r="G119" s="131"/>
      <c r="H119" s="83"/>
      <c r="I119" s="84"/>
      <c r="J119" s="85"/>
      <c r="K119" s="112" t="s">
        <v>247</v>
      </c>
      <c r="L119" s="140">
        <v>3</v>
      </c>
      <c r="M119" s="96" t="s">
        <v>182</v>
      </c>
      <c r="N119" s="245"/>
      <c r="O119" s="190"/>
      <c r="P119" s="191"/>
    </row>
    <row r="120" spans="1:16" ht="15.75">
      <c r="B120" s="79">
        <v>1</v>
      </c>
      <c r="C120" s="242"/>
      <c r="D120" s="117" t="s">
        <v>109</v>
      </c>
      <c r="E120" s="81" t="s">
        <v>644</v>
      </c>
      <c r="F120" s="94"/>
      <c r="G120" s="131" t="s">
        <v>645</v>
      </c>
      <c r="H120" s="83"/>
      <c r="I120" s="84"/>
      <c r="J120" s="85"/>
      <c r="K120" s="112" t="s">
        <v>638</v>
      </c>
      <c r="L120" s="140">
        <v>7</v>
      </c>
      <c r="M120" s="96" t="s">
        <v>315</v>
      </c>
      <c r="N120" s="114" t="s">
        <v>170</v>
      </c>
      <c r="O120" s="190"/>
      <c r="P120" s="217" t="s">
        <v>157</v>
      </c>
    </row>
    <row r="121" spans="1:16" ht="15.75">
      <c r="A121">
        <v>1</v>
      </c>
      <c r="B121" s="79"/>
      <c r="C121" s="242"/>
      <c r="D121" s="117" t="s">
        <v>646</v>
      </c>
      <c r="E121" s="81"/>
      <c r="F121" s="94"/>
      <c r="G121" s="131"/>
      <c r="H121" s="83"/>
      <c r="I121" s="84"/>
      <c r="J121" s="85"/>
      <c r="K121" s="112"/>
      <c r="L121" s="229">
        <v>1</v>
      </c>
      <c r="M121" s="96" t="s">
        <v>455</v>
      </c>
      <c r="N121" s="114"/>
      <c r="O121" s="190"/>
      <c r="P121" s="221" t="s">
        <v>153</v>
      </c>
    </row>
    <row r="122" spans="1:16" ht="15.75">
      <c r="B122" s="200">
        <v>1</v>
      </c>
      <c r="C122" s="242"/>
      <c r="D122" s="224" t="s">
        <v>110</v>
      </c>
      <c r="E122" s="102" t="s">
        <v>647</v>
      </c>
      <c r="F122" s="103" t="s">
        <v>540</v>
      </c>
      <c r="G122" s="143" t="s">
        <v>648</v>
      </c>
      <c r="H122" s="104"/>
      <c r="I122" s="105"/>
      <c r="J122" s="106"/>
      <c r="K122" s="144"/>
      <c r="L122" s="231">
        <v>2</v>
      </c>
      <c r="M122" s="109" t="s">
        <v>163</v>
      </c>
      <c r="N122" s="146" t="s">
        <v>285</v>
      </c>
      <c r="O122" s="240"/>
      <c r="P122" s="138" t="s">
        <v>229</v>
      </c>
    </row>
    <row r="123" spans="1:16" ht="15.75">
      <c r="B123" s="79"/>
      <c r="C123" s="236"/>
      <c r="D123" s="224"/>
      <c r="E123" s="118"/>
      <c r="F123" s="82"/>
      <c r="G123" s="131"/>
      <c r="H123" s="83"/>
      <c r="I123" s="84"/>
      <c r="J123" s="85"/>
      <c r="K123" s="119"/>
      <c r="L123" s="231">
        <f>SUM(L5:L122)</f>
        <v>423</v>
      </c>
      <c r="M123" s="109"/>
      <c r="N123" s="120"/>
      <c r="O123" s="190"/>
      <c r="P123" s="191"/>
    </row>
    <row r="124" spans="1:16">
      <c r="B124" s="53">
        <f>SUM(B5:B123)</f>
        <v>87</v>
      </c>
      <c r="E124" s="54"/>
      <c r="G124" s="52"/>
      <c r="H124" s="52"/>
      <c r="I124" s="55"/>
      <c r="J124" s="53"/>
      <c r="K124" s="246"/>
      <c r="L124" s="53"/>
      <c r="P124" s="56"/>
    </row>
    <row r="125" spans="1:16">
      <c r="B125" s="53"/>
      <c r="E125" s="54"/>
      <c r="G125" s="52"/>
      <c r="H125" s="52"/>
      <c r="I125" s="55"/>
      <c r="J125" s="53"/>
      <c r="L125" s="53"/>
      <c r="P125" s="56"/>
    </row>
  </sheetData>
  <mergeCells count="32">
    <mergeCell ref="C5:C8"/>
    <mergeCell ref="C9:C10"/>
    <mergeCell ref="E11:E12"/>
    <mergeCell ref="C12:C28"/>
    <mergeCell ref="Q14:R14"/>
    <mergeCell ref="Q15:R15"/>
    <mergeCell ref="Q16:R16"/>
    <mergeCell ref="Q28:R28"/>
    <mergeCell ref="T28:V28"/>
    <mergeCell ref="T2:U2"/>
    <mergeCell ref="E3:F3"/>
    <mergeCell ref="T3:U3"/>
    <mergeCell ref="Q17:R17"/>
    <mergeCell ref="Q19:R19"/>
    <mergeCell ref="Q20:R20"/>
    <mergeCell ref="T20:V20"/>
    <mergeCell ref="Q23:R23"/>
    <mergeCell ref="C29:C51"/>
    <mergeCell ref="Q29:R29"/>
    <mergeCell ref="Q30:R30"/>
    <mergeCell ref="Q31:R31"/>
    <mergeCell ref="T31:V31"/>
    <mergeCell ref="Q33:R33"/>
    <mergeCell ref="T33:V33"/>
    <mergeCell ref="C102:C105"/>
    <mergeCell ref="C108:C115"/>
    <mergeCell ref="C52:C60"/>
    <mergeCell ref="C61:C67"/>
    <mergeCell ref="C68:C74"/>
    <mergeCell ref="C80:C84"/>
    <mergeCell ref="C86:C92"/>
    <mergeCell ref="C94:C101"/>
  </mergeCells>
  <conditionalFormatting sqref="D77:P123 D5:O11 D15:P74 P5:P14 D12 F12:O12 D13:O14">
    <cfRule type="expression" dxfId="179" priority="75">
      <formula>ROW()=CELL("fila")</formula>
    </cfRule>
  </conditionalFormatting>
  <conditionalFormatting sqref="E5">
    <cfRule type="duplicateValues" dxfId="178" priority="155" stopIfTrue="1"/>
  </conditionalFormatting>
  <conditionalFormatting sqref="E6:E7">
    <cfRule type="duplicateValues" dxfId="177" priority="157" stopIfTrue="1"/>
  </conditionalFormatting>
  <conditionalFormatting sqref="E8">
    <cfRule type="duplicateValues" dxfId="176" priority="160" stopIfTrue="1"/>
  </conditionalFormatting>
  <conditionalFormatting sqref="E9">
    <cfRule type="duplicateValues" dxfId="175" priority="164" stopIfTrue="1"/>
  </conditionalFormatting>
  <conditionalFormatting sqref="E11">
    <cfRule type="duplicateValues" dxfId="174" priority="13" stopIfTrue="1"/>
    <cfRule type="duplicateValues" dxfId="173" priority="151" stopIfTrue="1"/>
  </conditionalFormatting>
  <conditionalFormatting sqref="E13:E15">
    <cfRule type="duplicateValues" dxfId="172" priority="153" stopIfTrue="1"/>
  </conditionalFormatting>
  <conditionalFormatting sqref="E16:E19">
    <cfRule type="duplicateValues" dxfId="171" priority="150" stopIfTrue="1"/>
  </conditionalFormatting>
  <conditionalFormatting sqref="E22">
    <cfRule type="duplicateValues" dxfId="170" priority="5" stopIfTrue="1"/>
  </conditionalFormatting>
  <conditionalFormatting sqref="E29">
    <cfRule type="duplicateValues" dxfId="169" priority="148" stopIfTrue="1"/>
  </conditionalFormatting>
  <conditionalFormatting sqref="E30:E39">
    <cfRule type="duplicateValues" dxfId="168" priority="176" stopIfTrue="1"/>
  </conditionalFormatting>
  <conditionalFormatting sqref="E40:E43">
    <cfRule type="duplicateValues" dxfId="167" priority="146" stopIfTrue="1"/>
  </conditionalFormatting>
  <conditionalFormatting sqref="E44">
    <cfRule type="duplicateValues" dxfId="166" priority="9" stopIfTrue="1"/>
  </conditionalFormatting>
  <conditionalFormatting sqref="E46:E50">
    <cfRule type="duplicateValues" dxfId="165" priority="144" stopIfTrue="1"/>
  </conditionalFormatting>
  <conditionalFormatting sqref="E52">
    <cfRule type="duplicateValues" dxfId="164" priority="142" stopIfTrue="1"/>
  </conditionalFormatting>
  <conditionalFormatting sqref="E53:E59">
    <cfRule type="duplicateValues" dxfId="163" priority="140" stopIfTrue="1"/>
  </conditionalFormatting>
  <conditionalFormatting sqref="E58:E60">
    <cfRule type="duplicateValues" dxfId="162" priority="138" stopIfTrue="1"/>
  </conditionalFormatting>
  <conditionalFormatting sqref="E60">
    <cfRule type="duplicateValues" dxfId="161" priority="11" stopIfTrue="1"/>
  </conditionalFormatting>
  <conditionalFormatting sqref="E61">
    <cfRule type="duplicateValues" dxfId="160" priority="134" stopIfTrue="1"/>
  </conditionalFormatting>
  <conditionalFormatting sqref="E62:E63">
    <cfRule type="duplicateValues" dxfId="159" priority="136" stopIfTrue="1"/>
  </conditionalFormatting>
  <conditionalFormatting sqref="E64">
    <cfRule type="duplicateValues" dxfId="158" priority="1" stopIfTrue="1"/>
  </conditionalFormatting>
  <conditionalFormatting sqref="E66">
    <cfRule type="duplicateValues" dxfId="157" priority="132" stopIfTrue="1"/>
  </conditionalFormatting>
  <conditionalFormatting sqref="E67 E64:E65 E51 E10 E20:E21 E44:E46 E23:E28">
    <cfRule type="duplicateValues" dxfId="156" priority="168" stopIfTrue="1"/>
  </conditionalFormatting>
  <conditionalFormatting sqref="E68">
    <cfRule type="duplicateValues" dxfId="155" priority="78" stopIfTrue="1"/>
  </conditionalFormatting>
  <conditionalFormatting sqref="E69:E70">
    <cfRule type="duplicateValues" dxfId="154" priority="80" stopIfTrue="1"/>
  </conditionalFormatting>
  <conditionalFormatting sqref="E71">
    <cfRule type="duplicateValues" dxfId="153" priority="7" stopIfTrue="1"/>
  </conditionalFormatting>
  <conditionalFormatting sqref="E71:E74">
    <cfRule type="duplicateValues" dxfId="152" priority="8" stopIfTrue="1"/>
    <cfRule type="duplicateValues" dxfId="151" priority="82" stopIfTrue="1"/>
  </conditionalFormatting>
  <conditionalFormatting sqref="E73">
    <cfRule type="duplicateValues" dxfId="150" priority="76" stopIfTrue="1"/>
  </conditionalFormatting>
  <conditionalFormatting sqref="E77">
    <cfRule type="duplicateValues" dxfId="149" priority="67" stopIfTrue="1"/>
  </conditionalFormatting>
  <conditionalFormatting sqref="E78">
    <cfRule type="duplicateValues" dxfId="148" priority="69" stopIfTrue="1"/>
  </conditionalFormatting>
  <conditionalFormatting sqref="E80">
    <cfRule type="duplicateValues" dxfId="147" priority="65" stopIfTrue="1"/>
  </conditionalFormatting>
  <conditionalFormatting sqref="E81:E83">
    <cfRule type="duplicateValues" dxfId="146" priority="71" stopIfTrue="1"/>
  </conditionalFormatting>
  <conditionalFormatting sqref="E82:E83">
    <cfRule type="duplicateValues" dxfId="145" priority="18" stopIfTrue="1"/>
  </conditionalFormatting>
  <conditionalFormatting sqref="E84">
    <cfRule type="duplicateValues" dxfId="144" priority="63" stopIfTrue="1"/>
  </conditionalFormatting>
  <conditionalFormatting sqref="E86">
    <cfRule type="duplicateValues" dxfId="143" priority="58" stopIfTrue="1"/>
    <cfRule type="duplicateValues" dxfId="142" priority="128" stopIfTrue="1"/>
  </conditionalFormatting>
  <conditionalFormatting sqref="E87">
    <cfRule type="duplicateValues" dxfId="141" priority="130" stopIfTrue="1"/>
  </conditionalFormatting>
  <conditionalFormatting sqref="E87:E88">
    <cfRule type="duplicateValues" dxfId="140" priority="60" stopIfTrue="1"/>
  </conditionalFormatting>
  <conditionalFormatting sqref="E88">
    <cfRule type="duplicateValues" dxfId="139" priority="56" stopIfTrue="1"/>
  </conditionalFormatting>
  <conditionalFormatting sqref="E89">
    <cfRule type="duplicateValues" dxfId="138" priority="126" stopIfTrue="1"/>
  </conditionalFormatting>
  <conditionalFormatting sqref="E89:E92">
    <cfRule type="duplicateValues" dxfId="137" priority="73" stopIfTrue="1"/>
  </conditionalFormatting>
  <conditionalFormatting sqref="E90:E92">
    <cfRule type="duplicateValues" dxfId="136" priority="170" stopIfTrue="1"/>
  </conditionalFormatting>
  <conditionalFormatting sqref="E92">
    <cfRule type="duplicateValues" dxfId="135" priority="16" stopIfTrue="1"/>
    <cfRule type="duplicateValues" dxfId="134" priority="87" stopIfTrue="1"/>
  </conditionalFormatting>
  <conditionalFormatting sqref="E93">
    <cfRule type="duplicateValues" dxfId="133" priority="124" stopIfTrue="1"/>
  </conditionalFormatting>
  <conditionalFormatting sqref="E94">
    <cfRule type="duplicateValues" dxfId="132" priority="52" stopIfTrue="1"/>
  </conditionalFormatting>
  <conditionalFormatting sqref="E95">
    <cfRule type="duplicateValues" dxfId="131" priority="119" stopIfTrue="1"/>
  </conditionalFormatting>
  <conditionalFormatting sqref="E95:E99">
    <cfRule type="duplicateValues" dxfId="130" priority="54" stopIfTrue="1"/>
  </conditionalFormatting>
  <conditionalFormatting sqref="E96:E98">
    <cfRule type="duplicateValues" dxfId="129" priority="121" stopIfTrue="1"/>
  </conditionalFormatting>
  <conditionalFormatting sqref="E97:E98">
    <cfRule type="duplicateValues" dxfId="128" priority="117" stopIfTrue="1"/>
  </conditionalFormatting>
  <conditionalFormatting sqref="E99:E101">
    <cfRule type="duplicateValues" dxfId="127" priority="172" stopIfTrue="1"/>
  </conditionalFormatting>
  <conditionalFormatting sqref="E100">
    <cfRule type="duplicateValues" dxfId="126" priority="50" stopIfTrue="1"/>
  </conditionalFormatting>
  <conditionalFormatting sqref="E101">
    <cfRule type="duplicateValues" dxfId="125" priority="48" stopIfTrue="1"/>
    <cfRule type="duplicateValues" dxfId="124" priority="85" stopIfTrue="1"/>
  </conditionalFormatting>
  <conditionalFormatting sqref="E103">
    <cfRule type="duplicateValues" dxfId="123" priority="40" stopIfTrue="1"/>
    <cfRule type="duplicateValues" dxfId="122" priority="113" stopIfTrue="1"/>
  </conditionalFormatting>
  <conditionalFormatting sqref="E104">
    <cfRule type="duplicateValues" dxfId="121" priority="42" stopIfTrue="1"/>
  </conditionalFormatting>
  <conditionalFormatting sqref="E104:E107">
    <cfRule type="duplicateValues" dxfId="120" priority="115" stopIfTrue="1"/>
  </conditionalFormatting>
  <conditionalFormatting sqref="E105">
    <cfRule type="duplicateValues" dxfId="119" priority="45" stopIfTrue="1"/>
  </conditionalFormatting>
  <conditionalFormatting sqref="E106">
    <cfRule type="duplicateValues" dxfId="118" priority="36" stopIfTrue="1"/>
  </conditionalFormatting>
  <conditionalFormatting sqref="E107">
    <cfRule type="duplicateValues" dxfId="117" priority="38" stopIfTrue="1"/>
  </conditionalFormatting>
  <conditionalFormatting sqref="E108">
    <cfRule type="duplicateValues" dxfId="116" priority="111" stopIfTrue="1"/>
  </conditionalFormatting>
  <conditionalFormatting sqref="E108:E114">
    <cfRule type="duplicateValues" dxfId="115" priority="34" stopIfTrue="1"/>
  </conditionalFormatting>
  <conditionalFormatting sqref="E109">
    <cfRule type="duplicateValues" dxfId="114" priority="109" stopIfTrue="1"/>
  </conditionalFormatting>
  <conditionalFormatting sqref="E111:E112">
    <cfRule type="duplicateValues" dxfId="113" priority="101" stopIfTrue="1"/>
  </conditionalFormatting>
  <conditionalFormatting sqref="E113">
    <cfRule type="duplicateValues" dxfId="112" priority="103" stopIfTrue="1"/>
  </conditionalFormatting>
  <conditionalFormatting sqref="E114">
    <cfRule type="duplicateValues" dxfId="111" priority="106" stopIfTrue="1"/>
  </conditionalFormatting>
  <conditionalFormatting sqref="E115">
    <cfRule type="duplicateValues" dxfId="110" priority="32" stopIfTrue="1"/>
    <cfRule type="duplicateValues" dxfId="109" priority="97" stopIfTrue="1"/>
  </conditionalFormatting>
  <conditionalFormatting sqref="E116">
    <cfRule type="duplicateValues" dxfId="108" priority="99" stopIfTrue="1"/>
  </conditionalFormatting>
  <conditionalFormatting sqref="E117:E121">
    <cfRule type="duplicateValues" dxfId="107" priority="29" stopIfTrue="1"/>
  </conditionalFormatting>
  <conditionalFormatting sqref="E117:E122">
    <cfRule type="duplicateValues" dxfId="106" priority="174" stopIfTrue="1"/>
  </conditionalFormatting>
  <conditionalFormatting sqref="E122">
    <cfRule type="duplicateValues" dxfId="105" priority="27" stopIfTrue="1"/>
  </conditionalFormatting>
  <conditionalFormatting sqref="E123">
    <cfRule type="duplicateValues" dxfId="104" priority="95" stopIfTrue="1"/>
  </conditionalFormatting>
  <conditionalFormatting sqref="G4">
    <cfRule type="duplicateValues" dxfId="103" priority="162"/>
  </conditionalFormatting>
  <conditionalFormatting sqref="G5">
    <cfRule type="duplicateValues" dxfId="102" priority="156"/>
  </conditionalFormatting>
  <conditionalFormatting sqref="G6:G7">
    <cfRule type="duplicateValues" dxfId="101" priority="158"/>
  </conditionalFormatting>
  <conditionalFormatting sqref="G8">
    <cfRule type="duplicateValues" dxfId="100" priority="161"/>
  </conditionalFormatting>
  <conditionalFormatting sqref="G9">
    <cfRule type="duplicateValues" dxfId="99" priority="165"/>
  </conditionalFormatting>
  <conditionalFormatting sqref="G11">
    <cfRule type="duplicateValues" dxfId="98" priority="14"/>
  </conditionalFormatting>
  <conditionalFormatting sqref="G12">
    <cfRule type="duplicateValues" dxfId="97" priority="152"/>
  </conditionalFormatting>
  <conditionalFormatting sqref="G13:G15">
    <cfRule type="duplicateValues" dxfId="96" priority="154"/>
  </conditionalFormatting>
  <conditionalFormatting sqref="G16:G19">
    <cfRule type="duplicateValues" dxfId="95" priority="166"/>
  </conditionalFormatting>
  <conditionalFormatting sqref="G22">
    <cfRule type="duplicateValues" dxfId="94" priority="6"/>
  </conditionalFormatting>
  <conditionalFormatting sqref="G29">
    <cfRule type="duplicateValues" dxfId="93" priority="149"/>
  </conditionalFormatting>
  <conditionalFormatting sqref="G30:G39">
    <cfRule type="duplicateValues" dxfId="92" priority="177"/>
  </conditionalFormatting>
  <conditionalFormatting sqref="G40:G43">
    <cfRule type="duplicateValues" dxfId="91" priority="147"/>
  </conditionalFormatting>
  <conditionalFormatting sqref="G44">
    <cfRule type="duplicateValues" dxfId="90" priority="10"/>
  </conditionalFormatting>
  <conditionalFormatting sqref="G44:G46 G10 G20:G21 G51 G64:G65 G67 G23:G28">
    <cfRule type="duplicateValues" dxfId="89" priority="169"/>
  </conditionalFormatting>
  <conditionalFormatting sqref="G46:G50">
    <cfRule type="duplicateValues" dxfId="88" priority="145"/>
  </conditionalFormatting>
  <conditionalFormatting sqref="G52">
    <cfRule type="duplicateValues" dxfId="87" priority="143"/>
  </conditionalFormatting>
  <conditionalFormatting sqref="G53:G59">
    <cfRule type="duplicateValues" dxfId="86" priority="141"/>
  </conditionalFormatting>
  <conditionalFormatting sqref="G58:G60">
    <cfRule type="duplicateValues" dxfId="85" priority="139"/>
  </conditionalFormatting>
  <conditionalFormatting sqref="G60">
    <cfRule type="duplicateValues" dxfId="84" priority="12"/>
  </conditionalFormatting>
  <conditionalFormatting sqref="G61">
    <cfRule type="duplicateValues" dxfId="83" priority="135"/>
  </conditionalFormatting>
  <conditionalFormatting sqref="G62:G63">
    <cfRule type="duplicateValues" dxfId="82" priority="137"/>
  </conditionalFormatting>
  <conditionalFormatting sqref="G64">
    <cfRule type="duplicateValues" dxfId="81" priority="2"/>
  </conditionalFormatting>
  <conditionalFormatting sqref="G66">
    <cfRule type="duplicateValues" dxfId="80" priority="133"/>
  </conditionalFormatting>
  <conditionalFormatting sqref="G68">
    <cfRule type="duplicateValues" dxfId="79" priority="79"/>
  </conditionalFormatting>
  <conditionalFormatting sqref="G69:G70">
    <cfRule type="duplicateValues" dxfId="78" priority="81"/>
  </conditionalFormatting>
  <conditionalFormatting sqref="G71:G73 H71:K72">
    <cfRule type="duplicateValues" dxfId="77" priority="77"/>
  </conditionalFormatting>
  <conditionalFormatting sqref="G74 G71:K72">
    <cfRule type="duplicateValues" dxfId="76" priority="83"/>
  </conditionalFormatting>
  <conditionalFormatting sqref="G76">
    <cfRule type="duplicateValues" dxfId="75" priority="25"/>
  </conditionalFormatting>
  <conditionalFormatting sqref="G77">
    <cfRule type="duplicateValues" dxfId="74" priority="68"/>
  </conditionalFormatting>
  <conditionalFormatting sqref="G78">
    <cfRule type="duplicateValues" dxfId="73" priority="70"/>
  </conditionalFormatting>
  <conditionalFormatting sqref="G79">
    <cfRule type="duplicateValues" dxfId="72" priority="24"/>
  </conditionalFormatting>
  <conditionalFormatting sqref="G80">
    <cfRule type="duplicateValues" dxfId="71" priority="66"/>
  </conditionalFormatting>
  <conditionalFormatting sqref="G81:G83">
    <cfRule type="duplicateValues" dxfId="70" priority="72"/>
  </conditionalFormatting>
  <conditionalFormatting sqref="G82:G83">
    <cfRule type="duplicateValues" dxfId="69" priority="19"/>
  </conditionalFormatting>
  <conditionalFormatting sqref="G84">
    <cfRule type="duplicateValues" dxfId="68" priority="64"/>
  </conditionalFormatting>
  <conditionalFormatting sqref="G85">
    <cfRule type="duplicateValues" dxfId="67" priority="23"/>
    <cfRule type="duplicateValues" dxfId="66" priority="93"/>
  </conditionalFormatting>
  <conditionalFormatting sqref="G86">
    <cfRule type="duplicateValues" dxfId="65" priority="59"/>
    <cfRule type="duplicateValues" dxfId="64" priority="129"/>
  </conditionalFormatting>
  <conditionalFormatting sqref="G87">
    <cfRule type="duplicateValues" dxfId="63" priority="131"/>
  </conditionalFormatting>
  <conditionalFormatting sqref="G87:G88">
    <cfRule type="duplicateValues" dxfId="62" priority="61"/>
  </conditionalFormatting>
  <conditionalFormatting sqref="G88">
    <cfRule type="duplicateValues" dxfId="61" priority="57"/>
    <cfRule type="duplicateValues" dxfId="60" priority="92"/>
  </conditionalFormatting>
  <conditionalFormatting sqref="G89">
    <cfRule type="duplicateValues" dxfId="59" priority="127"/>
  </conditionalFormatting>
  <conditionalFormatting sqref="G89:G92">
    <cfRule type="duplicateValues" dxfId="58" priority="74"/>
  </conditionalFormatting>
  <conditionalFormatting sqref="G90:G92">
    <cfRule type="duplicateValues" dxfId="57" priority="171"/>
  </conditionalFormatting>
  <conditionalFormatting sqref="G92">
    <cfRule type="duplicateValues" dxfId="56" priority="17"/>
    <cfRule type="duplicateValues" dxfId="55" priority="88"/>
  </conditionalFormatting>
  <conditionalFormatting sqref="G93">
    <cfRule type="duplicateValues" dxfId="54" priority="22"/>
    <cfRule type="duplicateValues" dxfId="53" priority="125"/>
  </conditionalFormatting>
  <conditionalFormatting sqref="G94">
    <cfRule type="duplicateValues" dxfId="52" priority="53"/>
    <cfRule type="duplicateValues" dxfId="51" priority="91"/>
  </conditionalFormatting>
  <conditionalFormatting sqref="G95">
    <cfRule type="duplicateValues" dxfId="50" priority="120"/>
  </conditionalFormatting>
  <conditionalFormatting sqref="G95:G99">
    <cfRule type="duplicateValues" dxfId="49" priority="55"/>
  </conditionalFormatting>
  <conditionalFormatting sqref="G96:G98">
    <cfRule type="duplicateValues" dxfId="48" priority="122"/>
  </conditionalFormatting>
  <conditionalFormatting sqref="G97:G98">
    <cfRule type="duplicateValues" dxfId="47" priority="118"/>
  </conditionalFormatting>
  <conditionalFormatting sqref="G99:G101">
    <cfRule type="duplicateValues" dxfId="46" priority="173"/>
  </conditionalFormatting>
  <conditionalFormatting sqref="G100">
    <cfRule type="duplicateValues" dxfId="45" priority="51"/>
  </conditionalFormatting>
  <conditionalFormatting sqref="G101">
    <cfRule type="duplicateValues" dxfId="44" priority="49"/>
    <cfRule type="duplicateValues" dxfId="43" priority="86"/>
  </conditionalFormatting>
  <conditionalFormatting sqref="G102">
    <cfRule type="duplicateValues" dxfId="42" priority="21"/>
    <cfRule type="duplicateValues" dxfId="41" priority="90"/>
  </conditionalFormatting>
  <conditionalFormatting sqref="G103">
    <cfRule type="duplicateValues" dxfId="40" priority="41"/>
    <cfRule type="duplicateValues" dxfId="39" priority="114"/>
  </conditionalFormatting>
  <conditionalFormatting sqref="G104">
    <cfRule type="duplicateValues" dxfId="38" priority="43"/>
  </conditionalFormatting>
  <conditionalFormatting sqref="G104:G107">
    <cfRule type="duplicateValues" dxfId="37" priority="116"/>
  </conditionalFormatting>
  <conditionalFormatting sqref="G105">
    <cfRule type="duplicateValues" dxfId="36" priority="46"/>
  </conditionalFormatting>
  <conditionalFormatting sqref="G106">
    <cfRule type="duplicateValues" dxfId="35" priority="37"/>
  </conditionalFormatting>
  <conditionalFormatting sqref="G107">
    <cfRule type="duplicateValues" dxfId="34" priority="39"/>
  </conditionalFormatting>
  <conditionalFormatting sqref="G108">
    <cfRule type="duplicateValues" dxfId="33" priority="112"/>
  </conditionalFormatting>
  <conditionalFormatting sqref="G108:G114">
    <cfRule type="duplicateValues" dxfId="32" priority="35"/>
  </conditionalFormatting>
  <conditionalFormatting sqref="G109">
    <cfRule type="duplicateValues" dxfId="31" priority="110"/>
  </conditionalFormatting>
  <conditionalFormatting sqref="G110">
    <cfRule type="duplicateValues" dxfId="30" priority="89"/>
  </conditionalFormatting>
  <conditionalFormatting sqref="G111:G112">
    <cfRule type="duplicateValues" dxfId="29" priority="102"/>
  </conditionalFormatting>
  <conditionalFormatting sqref="G112">
    <cfRule type="duplicateValues" dxfId="28" priority="3"/>
    <cfRule type="duplicateValues" dxfId="27" priority="4"/>
  </conditionalFormatting>
  <conditionalFormatting sqref="G113">
    <cfRule type="duplicateValues" dxfId="26" priority="104"/>
  </conditionalFormatting>
  <conditionalFormatting sqref="G114">
    <cfRule type="duplicateValues" dxfId="25" priority="107"/>
  </conditionalFormatting>
  <conditionalFormatting sqref="G115">
    <cfRule type="duplicateValues" dxfId="24" priority="33"/>
    <cfRule type="duplicateValues" dxfId="23" priority="98"/>
  </conditionalFormatting>
  <conditionalFormatting sqref="G116">
    <cfRule type="duplicateValues" dxfId="22" priority="20"/>
    <cfRule type="duplicateValues" dxfId="21" priority="100"/>
  </conditionalFormatting>
  <conditionalFormatting sqref="G117:G121">
    <cfRule type="duplicateValues" dxfId="20" priority="30"/>
  </conditionalFormatting>
  <conditionalFormatting sqref="G117:G122">
    <cfRule type="duplicateValues" dxfId="19" priority="175"/>
  </conditionalFormatting>
  <conditionalFormatting sqref="G122">
    <cfRule type="duplicateValues" dxfId="18" priority="28"/>
  </conditionalFormatting>
  <conditionalFormatting sqref="G123">
    <cfRule type="duplicateValues" dxfId="17" priority="96"/>
  </conditionalFormatting>
  <conditionalFormatting sqref="K8">
    <cfRule type="duplicateValues" dxfId="16" priority="159"/>
  </conditionalFormatting>
  <conditionalFormatting sqref="K10">
    <cfRule type="duplicateValues" dxfId="15" priority="167"/>
  </conditionalFormatting>
  <conditionalFormatting sqref="K28">
    <cfRule type="duplicateValues" dxfId="14" priority="163"/>
  </conditionalFormatting>
  <conditionalFormatting sqref="K84">
    <cfRule type="duplicateValues" dxfId="13" priority="62"/>
  </conditionalFormatting>
  <conditionalFormatting sqref="K92">
    <cfRule type="duplicateValues" dxfId="12" priority="15"/>
  </conditionalFormatting>
  <conditionalFormatting sqref="K93">
    <cfRule type="duplicateValues" dxfId="11" priority="123"/>
  </conditionalFormatting>
  <conditionalFormatting sqref="K101">
    <cfRule type="duplicateValues" dxfId="10" priority="47"/>
    <cfRule type="duplicateValues" dxfId="9" priority="84"/>
  </conditionalFormatting>
  <conditionalFormatting sqref="K105">
    <cfRule type="duplicateValues" dxfId="8" priority="44"/>
  </conditionalFormatting>
  <conditionalFormatting sqref="K109">
    <cfRule type="duplicateValues" dxfId="7" priority="108"/>
  </conditionalFormatting>
  <conditionalFormatting sqref="K114">
    <cfRule type="duplicateValues" dxfId="6" priority="105"/>
  </conditionalFormatting>
  <conditionalFormatting sqref="K115">
    <cfRule type="duplicateValues" dxfId="5" priority="31"/>
  </conditionalFormatting>
  <conditionalFormatting sqref="K122">
    <cfRule type="duplicateValues" dxfId="4" priority="26"/>
  </conditionalFormatting>
  <conditionalFormatting sqref="K123">
    <cfRule type="duplicateValues" dxfId="3" priority="94"/>
  </conditionalFormatting>
  <dataValidations count="3">
    <dataValidation type="custom" allowBlank="1" showInputMessage="1" showErrorMessage="1" errorTitle="IP REPETIDA" error="IP REPETIDA" sqref="H4:H8" xr:uid="{00000000-0002-0000-0100-000000000000}">
      <formula1>COUNTIF($H$9:$H$116,#REF!)=1</formula1>
    </dataValidation>
    <dataValidation type="custom" allowBlank="1" showInputMessage="1" showErrorMessage="1" errorTitle="FF" error="FFF" sqref="H123 G110:G113 H9:H74 H76:H121" xr:uid="{00000000-0002-0000-0100-000001000000}">
      <formula1>COUNTIF($H$9:$H$123,G9)=1</formula1>
    </dataValidation>
    <dataValidation type="custom" allowBlank="1" showInputMessage="1" showErrorMessage="1" errorTitle="IP REPETIDA" error="IP REPETIDA" sqref="G123 G76:G109 F9 K10 G115:G121 G9:G74" xr:uid="{00000000-0002-0000-0100-000002000000}">
      <formula1>COUNTIF($G$9:$G$116,F9)=1</formula1>
    </dataValidation>
  </dataValidations>
  <hyperlinks>
    <hyperlink ref="N9" location="'IP Alarmas'!A1" display="Alarma oszford" xr:uid="{00000000-0004-0000-0100-000000000000}"/>
    <hyperlink ref="N13" location="'IP Alarmas'!A1" display="Alarma oszford" xr:uid="{00000000-0004-0000-0100-000001000000}"/>
    <hyperlink ref="N22" location="'IP Alarmas'!A1" display="Alarma oszford" xr:uid="{00000000-0004-0000-0100-000002000000}"/>
    <hyperlink ref="N43" location="'IP Alarmas'!A1" display="Alarma oszford" xr:uid="{00000000-0004-0000-0100-000003000000}"/>
    <hyperlink ref="N120" location="'IP Alarmas'!A1" display="Alarma oszford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8"/>
  <sheetViews>
    <sheetView tabSelected="1" workbookViewId="0">
      <selection activeCell="K28" sqref="K28"/>
    </sheetView>
  </sheetViews>
  <sheetFormatPr baseColWidth="10" defaultRowHeight="15"/>
  <cols>
    <col min="1" max="1" width="7.28515625" customWidth="1"/>
    <col min="3" max="3" width="18.85546875" customWidth="1"/>
    <col min="4" max="4" width="16.5703125" customWidth="1"/>
    <col min="5" max="5" width="14.7109375" customWidth="1"/>
    <col min="9" max="9" width="9.140625" customWidth="1"/>
    <col min="10" max="10" width="9.5703125" customWidth="1"/>
    <col min="11" max="11" width="21.7109375" customWidth="1"/>
    <col min="12" max="12" width="13.28515625" customWidth="1"/>
  </cols>
  <sheetData>
    <row r="2" spans="2:12">
      <c r="C2" s="247" t="s">
        <v>649</v>
      </c>
      <c r="D2" s="248" t="s">
        <v>650</v>
      </c>
      <c r="E2" s="248" t="s">
        <v>651</v>
      </c>
      <c r="F2" s="248" t="s">
        <v>652</v>
      </c>
      <c r="G2" s="248" t="s">
        <v>653</v>
      </c>
      <c r="H2" s="248" t="s">
        <v>654</v>
      </c>
      <c r="I2" s="248" t="s">
        <v>655</v>
      </c>
      <c r="J2" s="248" t="s">
        <v>656</v>
      </c>
      <c r="K2" s="249" t="s">
        <v>657</v>
      </c>
      <c r="L2" s="250" t="s">
        <v>658</v>
      </c>
    </row>
    <row r="3" spans="2:12">
      <c r="B3" s="251">
        <v>1</v>
      </c>
      <c r="C3" s="252" t="s">
        <v>659</v>
      </c>
      <c r="D3" s="253" t="s">
        <v>660</v>
      </c>
      <c r="E3" s="254" t="s">
        <v>661</v>
      </c>
      <c r="F3" s="255" t="s">
        <v>662</v>
      </c>
      <c r="G3" s="256" t="s">
        <v>663</v>
      </c>
      <c r="H3" s="254" t="s">
        <v>664</v>
      </c>
      <c r="I3" s="257" t="s">
        <v>665</v>
      </c>
      <c r="J3" s="257" t="s">
        <v>666</v>
      </c>
      <c r="K3" s="258" t="s">
        <v>663</v>
      </c>
      <c r="L3" s="259" t="s">
        <v>168</v>
      </c>
    </row>
    <row r="4" spans="2:12">
      <c r="B4" s="260">
        <v>2</v>
      </c>
      <c r="C4" s="261" t="s">
        <v>230</v>
      </c>
      <c r="D4" s="262" t="s">
        <v>667</v>
      </c>
      <c r="E4" s="50" t="s">
        <v>668</v>
      </c>
      <c r="F4" s="263" t="s">
        <v>669</v>
      </c>
      <c r="G4" s="264" t="s">
        <v>670</v>
      </c>
      <c r="H4" s="50" t="s">
        <v>671</v>
      </c>
      <c r="I4" s="265" t="s">
        <v>672</v>
      </c>
      <c r="J4" s="265" t="s">
        <v>673</v>
      </c>
      <c r="K4" s="266" t="s">
        <v>670</v>
      </c>
      <c r="L4" s="267" t="s">
        <v>168</v>
      </c>
    </row>
    <row r="5" spans="2:12">
      <c r="B5" s="260">
        <v>3</v>
      </c>
      <c r="C5" s="261" t="s">
        <v>674</v>
      </c>
      <c r="D5" s="262" t="s">
        <v>675</v>
      </c>
      <c r="E5" s="50" t="s">
        <v>668</v>
      </c>
      <c r="F5" s="263" t="s">
        <v>676</v>
      </c>
      <c r="G5" s="264" t="s">
        <v>677</v>
      </c>
      <c r="H5" s="50" t="s">
        <v>671</v>
      </c>
      <c r="I5" s="265" t="s">
        <v>672</v>
      </c>
      <c r="J5" s="265"/>
      <c r="K5" s="266" t="s">
        <v>677</v>
      </c>
      <c r="L5" s="268"/>
    </row>
    <row r="6" spans="2:12">
      <c r="B6" s="260">
        <v>4</v>
      </c>
      <c r="C6" s="261" t="s">
        <v>678</v>
      </c>
      <c r="D6" s="262" t="s">
        <v>679</v>
      </c>
      <c r="E6" s="50" t="s">
        <v>668</v>
      </c>
      <c r="F6" s="263" t="s">
        <v>676</v>
      </c>
      <c r="G6" s="264" t="s">
        <v>680</v>
      </c>
      <c r="H6" s="50" t="s">
        <v>671</v>
      </c>
      <c r="I6" s="265" t="s">
        <v>672</v>
      </c>
      <c r="J6" s="265"/>
      <c r="K6" s="266" t="s">
        <v>680</v>
      </c>
      <c r="L6" s="268"/>
    </row>
    <row r="7" spans="2:12">
      <c r="B7" s="260">
        <v>5</v>
      </c>
      <c r="C7" s="261" t="s">
        <v>681</v>
      </c>
      <c r="D7" s="262" t="s">
        <v>682</v>
      </c>
      <c r="E7" s="50" t="s">
        <v>668</v>
      </c>
      <c r="F7" s="263" t="s">
        <v>676</v>
      </c>
      <c r="G7" s="264" t="s">
        <v>683</v>
      </c>
      <c r="H7" s="50" t="s">
        <v>671</v>
      </c>
      <c r="I7" s="265" t="s">
        <v>672</v>
      </c>
      <c r="J7" s="265"/>
      <c r="K7" s="266" t="s">
        <v>683</v>
      </c>
      <c r="L7" s="268"/>
    </row>
    <row r="8" spans="2:12">
      <c r="B8" s="269">
        <v>6</v>
      </c>
      <c r="C8" s="270" t="s">
        <v>684</v>
      </c>
      <c r="D8" s="271" t="s">
        <v>685</v>
      </c>
      <c r="E8" s="272" t="s">
        <v>668</v>
      </c>
      <c r="F8" s="273" t="s">
        <v>669</v>
      </c>
      <c r="G8" s="274" t="s">
        <v>686</v>
      </c>
      <c r="H8" s="272" t="s">
        <v>671</v>
      </c>
      <c r="I8" s="275" t="s">
        <v>672</v>
      </c>
      <c r="J8" s="275" t="s">
        <v>688</v>
      </c>
      <c r="K8" s="276" t="s">
        <v>686</v>
      </c>
      <c r="L8" s="277" t="s">
        <v>168</v>
      </c>
    </row>
    <row r="9" spans="2:12">
      <c r="B9" s="251">
        <v>7</v>
      </c>
      <c r="C9" s="278" t="s">
        <v>689</v>
      </c>
      <c r="D9" s="279" t="s">
        <v>690</v>
      </c>
      <c r="E9" s="280" t="s">
        <v>661</v>
      </c>
      <c r="F9" s="281" t="s">
        <v>691</v>
      </c>
      <c r="G9" s="282" t="s">
        <v>692</v>
      </c>
      <c r="H9" s="280" t="s">
        <v>671</v>
      </c>
      <c r="I9" s="283" t="s">
        <v>672</v>
      </c>
      <c r="J9" s="284" t="s">
        <v>693</v>
      </c>
      <c r="K9" s="285" t="s">
        <v>692</v>
      </c>
      <c r="L9" s="259" t="s">
        <v>168</v>
      </c>
    </row>
    <row r="10" spans="2:12">
      <c r="B10" s="260">
        <v>8</v>
      </c>
      <c r="C10" s="261" t="s">
        <v>97</v>
      </c>
      <c r="D10" s="262" t="s">
        <v>694</v>
      </c>
      <c r="E10" s="50" t="s">
        <v>661</v>
      </c>
      <c r="F10" s="263" t="s">
        <v>695</v>
      </c>
      <c r="G10" s="264" t="s">
        <v>696</v>
      </c>
      <c r="H10" s="50" t="s">
        <v>671</v>
      </c>
      <c r="I10" s="265" t="s">
        <v>672</v>
      </c>
      <c r="J10" s="265" t="s">
        <v>697</v>
      </c>
      <c r="K10" s="266" t="s">
        <v>696</v>
      </c>
      <c r="L10" s="267" t="s">
        <v>168</v>
      </c>
    </row>
    <row r="11" spans="2:12">
      <c r="B11" s="260">
        <v>9</v>
      </c>
      <c r="C11" s="261" t="s">
        <v>698</v>
      </c>
      <c r="D11" s="262" t="s">
        <v>699</v>
      </c>
      <c r="E11" s="50" t="s">
        <v>661</v>
      </c>
      <c r="F11" s="263" t="s">
        <v>700</v>
      </c>
      <c r="G11" s="264" t="s">
        <v>701</v>
      </c>
      <c r="H11" s="50" t="s">
        <v>671</v>
      </c>
      <c r="I11" s="265" t="s">
        <v>672</v>
      </c>
      <c r="J11" s="265" t="s">
        <v>702</v>
      </c>
      <c r="K11" s="266" t="s">
        <v>701</v>
      </c>
      <c r="L11" s="267" t="s">
        <v>168</v>
      </c>
    </row>
    <row r="12" spans="2:12">
      <c r="B12" s="260">
        <v>10</v>
      </c>
      <c r="C12" s="261" t="s">
        <v>703</v>
      </c>
      <c r="D12" s="262" t="s">
        <v>704</v>
      </c>
      <c r="E12" s="50" t="s">
        <v>661</v>
      </c>
      <c r="F12" s="263" t="s">
        <v>695</v>
      </c>
      <c r="G12" s="264" t="s">
        <v>705</v>
      </c>
      <c r="H12" s="50" t="s">
        <v>671</v>
      </c>
      <c r="I12" s="265" t="s">
        <v>672</v>
      </c>
      <c r="J12" s="265">
        <v>29143022</v>
      </c>
      <c r="K12" s="266" t="s">
        <v>705</v>
      </c>
      <c r="L12" s="267" t="s">
        <v>168</v>
      </c>
    </row>
    <row r="13" spans="2:12">
      <c r="B13" s="260">
        <v>11</v>
      </c>
      <c r="C13" s="261" t="s">
        <v>706</v>
      </c>
      <c r="D13" s="262" t="s">
        <v>707</v>
      </c>
      <c r="E13" s="50" t="s">
        <v>661</v>
      </c>
      <c r="F13" s="263" t="s">
        <v>695</v>
      </c>
      <c r="G13" s="264" t="s">
        <v>708</v>
      </c>
      <c r="H13" s="50" t="s">
        <v>671</v>
      </c>
      <c r="I13" s="265" t="s">
        <v>672</v>
      </c>
      <c r="J13" s="265">
        <v>29143021</v>
      </c>
      <c r="K13" s="266" t="s">
        <v>708</v>
      </c>
      <c r="L13" s="267" t="s">
        <v>168</v>
      </c>
    </row>
    <row r="14" spans="2:12">
      <c r="B14" s="287">
        <v>13</v>
      </c>
      <c r="C14" s="278" t="s">
        <v>712</v>
      </c>
      <c r="D14" s="279" t="s">
        <v>713</v>
      </c>
      <c r="E14" s="280" t="s">
        <v>661</v>
      </c>
      <c r="F14" s="281" t="s">
        <v>714</v>
      </c>
      <c r="G14" s="282" t="s">
        <v>715</v>
      </c>
      <c r="H14" s="280" t="s">
        <v>664</v>
      </c>
      <c r="I14" s="283" t="s">
        <v>716</v>
      </c>
      <c r="J14" s="283" t="s">
        <v>717</v>
      </c>
      <c r="K14" s="285" t="s">
        <v>715</v>
      </c>
      <c r="L14" s="288"/>
    </row>
    <row r="15" spans="2:12">
      <c r="B15" s="260">
        <v>14</v>
      </c>
      <c r="C15" s="261" t="s">
        <v>718</v>
      </c>
      <c r="D15" s="262" t="s">
        <v>719</v>
      </c>
      <c r="E15" s="50" t="s">
        <v>661</v>
      </c>
      <c r="F15" s="263" t="s">
        <v>720</v>
      </c>
      <c r="G15" s="264" t="s">
        <v>721</v>
      </c>
      <c r="H15" s="50" t="s">
        <v>671</v>
      </c>
      <c r="I15" s="265" t="s">
        <v>672</v>
      </c>
      <c r="J15" s="265" t="s">
        <v>722</v>
      </c>
      <c r="K15" s="266" t="s">
        <v>721</v>
      </c>
      <c r="L15" s="267" t="s">
        <v>168</v>
      </c>
    </row>
    <row r="16" spans="2:12">
      <c r="B16" s="260">
        <v>15</v>
      </c>
      <c r="C16" s="261" t="s">
        <v>723</v>
      </c>
      <c r="D16" s="262" t="s">
        <v>724</v>
      </c>
      <c r="E16" s="50" t="s">
        <v>668</v>
      </c>
      <c r="F16" s="263" t="s">
        <v>725</v>
      </c>
      <c r="G16" s="264" t="s">
        <v>726</v>
      </c>
      <c r="H16" s="50" t="s">
        <v>671</v>
      </c>
      <c r="I16" s="265" t="s">
        <v>672</v>
      </c>
      <c r="J16" s="265" t="s">
        <v>727</v>
      </c>
      <c r="K16" s="266" t="s">
        <v>726</v>
      </c>
      <c r="L16" s="267" t="s">
        <v>168</v>
      </c>
    </row>
    <row r="17" spans="2:12">
      <c r="B17" s="260">
        <v>16</v>
      </c>
      <c r="C17" s="261" t="s">
        <v>498</v>
      </c>
      <c r="D17" s="262" t="s">
        <v>728</v>
      </c>
      <c r="E17" s="50" t="s">
        <v>661</v>
      </c>
      <c r="F17" s="263" t="s">
        <v>729</v>
      </c>
      <c r="G17" s="264" t="s">
        <v>730</v>
      </c>
      <c r="H17" s="50" t="s">
        <v>671</v>
      </c>
      <c r="I17" s="265" t="s">
        <v>672</v>
      </c>
      <c r="J17" s="265" t="s">
        <v>731</v>
      </c>
      <c r="K17" s="266" t="s">
        <v>730</v>
      </c>
      <c r="L17" s="267" t="s">
        <v>168</v>
      </c>
    </row>
    <row r="18" spans="2:12">
      <c r="B18" s="286">
        <v>17</v>
      </c>
      <c r="C18" s="289" t="s">
        <v>732</v>
      </c>
      <c r="D18" s="290" t="s">
        <v>733</v>
      </c>
      <c r="E18" s="51" t="s">
        <v>734</v>
      </c>
      <c r="F18" s="291" t="s">
        <v>735</v>
      </c>
      <c r="G18" s="292" t="s">
        <v>736</v>
      </c>
      <c r="H18" s="51" t="s">
        <v>671</v>
      </c>
      <c r="I18" s="293" t="s">
        <v>672</v>
      </c>
      <c r="J18" s="293"/>
      <c r="K18" s="294" t="s">
        <v>736</v>
      </c>
      <c r="L18" s="29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9"/>
  <sheetViews>
    <sheetView workbookViewId="0"/>
  </sheetViews>
  <sheetFormatPr baseColWidth="10" defaultRowHeight="15"/>
  <cols>
    <col min="1" max="1" width="6.85546875" customWidth="1"/>
    <col min="9" max="9" width="16.5703125" customWidth="1"/>
    <col min="11" max="11" width="30.28515625" customWidth="1"/>
    <col min="13" max="13" width="20" customWidth="1"/>
  </cols>
  <sheetData>
    <row r="2" spans="2:13">
      <c r="B2" s="53"/>
      <c r="C2" s="296" t="s">
        <v>737</v>
      </c>
      <c r="D2" s="297" t="s">
        <v>738</v>
      </c>
      <c r="E2" s="298" t="s">
        <v>739</v>
      </c>
      <c r="F2" s="298" t="s">
        <v>740</v>
      </c>
      <c r="G2" s="299" t="s">
        <v>741</v>
      </c>
      <c r="H2" s="300" t="s">
        <v>742</v>
      </c>
      <c r="I2" s="301" t="s">
        <v>743</v>
      </c>
      <c r="J2" s="302" t="s">
        <v>744</v>
      </c>
      <c r="K2" s="296" t="s">
        <v>745</v>
      </c>
      <c r="L2" s="299" t="s">
        <v>746</v>
      </c>
      <c r="M2" s="317" t="s">
        <v>747</v>
      </c>
    </row>
    <row r="3" spans="2:13">
      <c r="B3" s="303">
        <v>1</v>
      </c>
      <c r="C3" s="278" t="s">
        <v>748</v>
      </c>
      <c r="D3" s="304" t="s">
        <v>749</v>
      </c>
      <c r="E3" s="305" t="s">
        <v>750</v>
      </c>
      <c r="F3" s="305">
        <v>2011</v>
      </c>
      <c r="G3" s="284" t="s">
        <v>751</v>
      </c>
      <c r="H3" s="304"/>
      <c r="I3" s="304"/>
      <c r="J3" s="280"/>
      <c r="K3" s="305" t="s">
        <v>752</v>
      </c>
      <c r="L3" s="305" t="s">
        <v>753</v>
      </c>
      <c r="M3" s="318" t="s">
        <v>754</v>
      </c>
    </row>
    <row r="4" spans="2:13">
      <c r="B4" s="306">
        <v>2</v>
      </c>
      <c r="C4" s="261" t="s">
        <v>755</v>
      </c>
      <c r="D4" s="307" t="s">
        <v>749</v>
      </c>
      <c r="E4" s="17" t="s">
        <v>756</v>
      </c>
      <c r="F4" s="17">
        <v>2014</v>
      </c>
      <c r="G4" s="308" t="s">
        <v>757</v>
      </c>
      <c r="H4" s="307" t="s">
        <v>758</v>
      </c>
      <c r="I4" s="307" t="s">
        <v>759</v>
      </c>
      <c r="J4" s="50"/>
      <c r="K4" s="309" t="s">
        <v>760</v>
      </c>
      <c r="L4" s="17" t="s">
        <v>753</v>
      </c>
      <c r="M4" s="319" t="s">
        <v>168</v>
      </c>
    </row>
    <row r="5" spans="2:13">
      <c r="B5" s="306">
        <v>3</v>
      </c>
      <c r="C5" s="261" t="s">
        <v>761</v>
      </c>
      <c r="D5" s="307" t="s">
        <v>749</v>
      </c>
      <c r="E5" s="17" t="s">
        <v>756</v>
      </c>
      <c r="F5" s="17">
        <v>2014</v>
      </c>
      <c r="G5" s="308" t="s">
        <v>757</v>
      </c>
      <c r="H5" s="307" t="s">
        <v>762</v>
      </c>
      <c r="I5" s="307" t="s">
        <v>763</v>
      </c>
      <c r="J5" s="50"/>
      <c r="K5" s="309" t="s">
        <v>764</v>
      </c>
      <c r="L5" s="17" t="s">
        <v>753</v>
      </c>
      <c r="M5" s="319" t="s">
        <v>765</v>
      </c>
    </row>
    <row r="6" spans="2:13">
      <c r="B6" s="306">
        <v>4</v>
      </c>
      <c r="C6" s="261" t="s">
        <v>766</v>
      </c>
      <c r="D6" s="307" t="s">
        <v>749</v>
      </c>
      <c r="E6" s="17" t="s">
        <v>756</v>
      </c>
      <c r="F6" s="17">
        <v>2019</v>
      </c>
      <c r="G6" s="308" t="s">
        <v>767</v>
      </c>
      <c r="H6" s="307" t="s">
        <v>758</v>
      </c>
      <c r="I6" s="307" t="s">
        <v>768</v>
      </c>
      <c r="J6" s="50">
        <v>15885</v>
      </c>
      <c r="K6" s="17" t="s">
        <v>769</v>
      </c>
      <c r="L6" s="17" t="s">
        <v>753</v>
      </c>
      <c r="M6" s="319" t="s">
        <v>168</v>
      </c>
    </row>
    <row r="7" spans="2:13">
      <c r="B7" s="306">
        <v>5</v>
      </c>
      <c r="C7" s="261" t="s">
        <v>770</v>
      </c>
      <c r="D7" s="307" t="s">
        <v>749</v>
      </c>
      <c r="E7" s="17" t="s">
        <v>771</v>
      </c>
      <c r="F7" s="17">
        <v>2022</v>
      </c>
      <c r="G7" s="308" t="s">
        <v>751</v>
      </c>
      <c r="H7" s="307" t="s">
        <v>758</v>
      </c>
      <c r="I7" s="307" t="s">
        <v>772</v>
      </c>
      <c r="J7" s="50">
        <v>15883</v>
      </c>
      <c r="K7" s="310" t="s">
        <v>773</v>
      </c>
      <c r="L7" s="17" t="s">
        <v>753</v>
      </c>
      <c r="M7" s="319" t="s">
        <v>168</v>
      </c>
    </row>
    <row r="8" spans="2:13">
      <c r="B8" s="306">
        <v>6</v>
      </c>
      <c r="C8" s="261" t="s">
        <v>774</v>
      </c>
      <c r="D8" s="307" t="s">
        <v>749</v>
      </c>
      <c r="E8" s="311" t="s">
        <v>775</v>
      </c>
      <c r="F8" s="17">
        <v>2022</v>
      </c>
      <c r="G8" s="308" t="s">
        <v>767</v>
      </c>
      <c r="H8" s="307" t="s">
        <v>776</v>
      </c>
      <c r="I8" s="307" t="s">
        <v>777</v>
      </c>
      <c r="J8" s="50">
        <v>15887</v>
      </c>
      <c r="K8" s="309" t="s">
        <v>778</v>
      </c>
      <c r="L8" s="17" t="s">
        <v>753</v>
      </c>
      <c r="M8" s="319" t="s">
        <v>168</v>
      </c>
    </row>
    <row r="9" spans="2:13">
      <c r="B9" s="312">
        <v>7</v>
      </c>
      <c r="C9" s="289" t="s">
        <v>779</v>
      </c>
      <c r="D9" s="313" t="s">
        <v>749</v>
      </c>
      <c r="E9" s="314" t="s">
        <v>775</v>
      </c>
      <c r="F9" s="37">
        <v>2022</v>
      </c>
      <c r="G9" s="315" t="s">
        <v>767</v>
      </c>
      <c r="H9" s="313" t="s">
        <v>776</v>
      </c>
      <c r="I9" s="313" t="s">
        <v>780</v>
      </c>
      <c r="J9" s="51">
        <v>15886</v>
      </c>
      <c r="K9" s="316" t="s">
        <v>781</v>
      </c>
      <c r="L9" s="37" t="s">
        <v>753</v>
      </c>
      <c r="M9" s="320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workbookViewId="0"/>
  </sheetViews>
  <sheetFormatPr baseColWidth="10" defaultColWidth="9.140625" defaultRowHeight="15"/>
  <cols>
    <col min="1" max="8" width="24" customWidth="1"/>
  </cols>
  <sheetData>
    <row r="1" spans="1:8" ht="33.950000000000003" customHeight="1">
      <c r="A1" s="428" t="s">
        <v>782</v>
      </c>
      <c r="B1" s="428"/>
      <c r="C1" s="428"/>
      <c r="D1" s="428"/>
      <c r="E1" s="428"/>
      <c r="F1" s="428"/>
      <c r="G1" s="428"/>
      <c r="H1" s="428"/>
    </row>
    <row r="2" spans="1:8" ht="30" customHeight="1">
      <c r="A2" s="429" t="s">
        <v>783</v>
      </c>
      <c r="B2" s="429"/>
      <c r="C2" s="429"/>
      <c r="D2" s="429"/>
      <c r="E2" s="429"/>
      <c r="F2" s="429"/>
      <c r="G2" s="429"/>
      <c r="H2" s="429"/>
    </row>
    <row r="4" spans="1:8">
      <c r="A4" s="321" t="s">
        <v>784</v>
      </c>
      <c r="B4" s="321" t="s">
        <v>785</v>
      </c>
      <c r="C4" s="321" t="s">
        <v>786</v>
      </c>
      <c r="D4" s="321" t="s">
        <v>787</v>
      </c>
      <c r="E4" s="321" t="s">
        <v>788</v>
      </c>
      <c r="F4" s="321" t="s">
        <v>789</v>
      </c>
      <c r="G4" s="321" t="s">
        <v>790</v>
      </c>
      <c r="H4" s="321" t="s">
        <v>791</v>
      </c>
    </row>
    <row r="5" spans="1:8">
      <c r="A5" t="s">
        <v>792</v>
      </c>
      <c r="B5" t="s">
        <v>793</v>
      </c>
      <c r="C5" t="s">
        <v>742</v>
      </c>
      <c r="D5" t="s">
        <v>794</v>
      </c>
      <c r="E5" t="s">
        <v>795</v>
      </c>
      <c r="F5" t="s">
        <v>6</v>
      </c>
      <c r="G5" t="s">
        <v>168</v>
      </c>
      <c r="H5" t="s">
        <v>796</v>
      </c>
    </row>
    <row r="6" spans="1:8">
      <c r="A6" t="s">
        <v>797</v>
      </c>
      <c r="B6" t="s">
        <v>798</v>
      </c>
      <c r="C6" t="s">
        <v>799</v>
      </c>
      <c r="D6" t="s">
        <v>800</v>
      </c>
      <c r="E6" t="s">
        <v>801</v>
      </c>
      <c r="F6" t="s">
        <v>10</v>
      </c>
      <c r="G6" t="s">
        <v>802</v>
      </c>
      <c r="H6" t="s">
        <v>803</v>
      </c>
    </row>
    <row r="7" spans="1:8">
      <c r="A7" t="s">
        <v>804</v>
      </c>
      <c r="B7" t="s">
        <v>805</v>
      </c>
      <c r="C7" t="s">
        <v>806</v>
      </c>
      <c r="D7" t="s">
        <v>807</v>
      </c>
      <c r="E7" t="s">
        <v>794</v>
      </c>
      <c r="F7" t="s">
        <v>14</v>
      </c>
      <c r="G7" t="s">
        <v>808</v>
      </c>
      <c r="H7" t="s">
        <v>809</v>
      </c>
    </row>
    <row r="8" spans="1:8">
      <c r="A8" t="s">
        <v>810</v>
      </c>
      <c r="B8" t="s">
        <v>811</v>
      </c>
      <c r="C8" t="s">
        <v>812</v>
      </c>
      <c r="D8" t="s">
        <v>813</v>
      </c>
      <c r="E8" t="s">
        <v>814</v>
      </c>
      <c r="F8" t="s">
        <v>18</v>
      </c>
      <c r="G8" t="s">
        <v>815</v>
      </c>
    </row>
    <row r="9" spans="1:8">
      <c r="A9" t="s">
        <v>816</v>
      </c>
      <c r="B9" t="s">
        <v>817</v>
      </c>
      <c r="C9" t="s">
        <v>818</v>
      </c>
      <c r="D9" t="s">
        <v>819</v>
      </c>
      <c r="F9" t="s">
        <v>21</v>
      </c>
      <c r="G9" t="s">
        <v>820</v>
      </c>
    </row>
    <row r="10" spans="1:8">
      <c r="B10" t="s">
        <v>821</v>
      </c>
      <c r="C10" t="s">
        <v>822</v>
      </c>
      <c r="D10" t="s">
        <v>823</v>
      </c>
      <c r="F10" t="s">
        <v>25</v>
      </c>
      <c r="G10" t="s">
        <v>824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3"/>
  <sheetViews>
    <sheetView showGridLines="0" workbookViewId="0"/>
  </sheetViews>
  <sheetFormatPr baseColWidth="10" defaultColWidth="9.140625" defaultRowHeight="15"/>
  <cols>
    <col min="1" max="1" width="13" customWidth="1"/>
    <col min="2" max="2" width="12" customWidth="1"/>
    <col min="3" max="3" width="29" customWidth="1"/>
    <col min="4" max="4" width="13" customWidth="1"/>
    <col min="5" max="7" width="8" customWidth="1"/>
    <col min="8" max="8" width="24" customWidth="1"/>
    <col min="9" max="9" width="29" customWidth="1"/>
    <col min="10" max="10" width="16" customWidth="1"/>
    <col min="11" max="11" width="18" customWidth="1"/>
    <col min="12" max="12" width="14" customWidth="1"/>
    <col min="13" max="13" width="17" customWidth="1"/>
    <col min="14" max="14" width="22" customWidth="1"/>
  </cols>
  <sheetData>
    <row r="1" spans="1:14" ht="33.950000000000003" customHeight="1">
      <c r="A1" s="428" t="s">
        <v>825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</row>
    <row r="2" spans="1:14" ht="30" customHeight="1">
      <c r="A2" s="429" t="s">
        <v>826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</row>
    <row r="4" spans="1:14" ht="32.1" customHeight="1">
      <c r="A4" s="322" t="s">
        <v>827</v>
      </c>
      <c r="B4" s="322" t="s">
        <v>828</v>
      </c>
      <c r="C4" s="322" t="s">
        <v>829</v>
      </c>
      <c r="D4" s="322" t="s">
        <v>830</v>
      </c>
      <c r="E4" s="322" t="s">
        <v>831</v>
      </c>
      <c r="F4" s="322" t="s">
        <v>832</v>
      </c>
      <c r="G4" s="322" t="s">
        <v>833</v>
      </c>
      <c r="H4" s="322" t="s">
        <v>834</v>
      </c>
      <c r="I4" s="322" t="s">
        <v>835</v>
      </c>
      <c r="J4" s="322" t="s">
        <v>836</v>
      </c>
      <c r="K4" s="322" t="s">
        <v>837</v>
      </c>
      <c r="L4" s="322" t="s">
        <v>838</v>
      </c>
      <c r="M4" s="322" t="s">
        <v>839</v>
      </c>
      <c r="N4" s="322" t="s">
        <v>840</v>
      </c>
    </row>
    <row r="5" spans="1:14" ht="30">
      <c r="A5" s="323" t="s">
        <v>841</v>
      </c>
      <c r="B5" s="323" t="s">
        <v>842</v>
      </c>
      <c r="C5" s="323" t="s">
        <v>843</v>
      </c>
      <c r="D5" s="323" t="s">
        <v>6</v>
      </c>
      <c r="E5" s="323">
        <v>1</v>
      </c>
      <c r="F5" s="323">
        <v>1</v>
      </c>
      <c r="G5" s="323"/>
      <c r="H5" s="323" t="s">
        <v>803</v>
      </c>
      <c r="I5" s="323" t="s">
        <v>55</v>
      </c>
      <c r="J5" s="324">
        <v>0.4285714285714286</v>
      </c>
      <c r="K5" s="323" t="s">
        <v>794</v>
      </c>
      <c r="L5" s="323"/>
      <c r="M5" s="323">
        <v>4</v>
      </c>
      <c r="N5" s="323" t="s">
        <v>844</v>
      </c>
    </row>
    <row r="6" spans="1:14" ht="30">
      <c r="A6" s="323" t="s">
        <v>845</v>
      </c>
      <c r="B6" s="323" t="s">
        <v>846</v>
      </c>
      <c r="C6" s="323" t="s">
        <v>52</v>
      </c>
      <c r="D6" s="323" t="s">
        <v>6</v>
      </c>
      <c r="E6" s="323">
        <v>1</v>
      </c>
      <c r="F6" s="323"/>
      <c r="G6" s="323"/>
      <c r="H6" s="323" t="s">
        <v>803</v>
      </c>
      <c r="I6" s="323" t="s">
        <v>396</v>
      </c>
      <c r="J6" s="324">
        <v>1</v>
      </c>
      <c r="K6" s="323" t="s">
        <v>794</v>
      </c>
      <c r="L6" s="323"/>
      <c r="M6" s="323">
        <v>5</v>
      </c>
      <c r="N6" s="323" t="s">
        <v>844</v>
      </c>
    </row>
    <row r="7" spans="1:14" ht="30">
      <c r="A7" s="323" t="s">
        <v>847</v>
      </c>
      <c r="B7" s="323" t="s">
        <v>848</v>
      </c>
      <c r="C7" s="323" t="s">
        <v>849</v>
      </c>
      <c r="D7" s="323" t="s">
        <v>6</v>
      </c>
      <c r="E7" s="323">
        <v>1</v>
      </c>
      <c r="F7" s="323">
        <v>1</v>
      </c>
      <c r="G7" s="323"/>
      <c r="H7" s="323" t="s">
        <v>803</v>
      </c>
      <c r="I7" s="323" t="s">
        <v>164</v>
      </c>
      <c r="J7" s="324">
        <v>1</v>
      </c>
      <c r="K7" s="323" t="s">
        <v>794</v>
      </c>
      <c r="L7" s="323"/>
      <c r="M7" s="323">
        <v>6</v>
      </c>
      <c r="N7" s="323" t="s">
        <v>844</v>
      </c>
    </row>
    <row r="8" spans="1:14" ht="30">
      <c r="A8" s="323" t="s">
        <v>850</v>
      </c>
      <c r="B8" s="323" t="s">
        <v>851</v>
      </c>
      <c r="C8" s="323" t="s">
        <v>852</v>
      </c>
      <c r="D8" s="323" t="s">
        <v>6</v>
      </c>
      <c r="E8" s="323">
        <v>1</v>
      </c>
      <c r="F8" s="323">
        <v>1</v>
      </c>
      <c r="G8" s="323"/>
      <c r="H8" s="323" t="s">
        <v>803</v>
      </c>
      <c r="I8" s="323" t="s">
        <v>172</v>
      </c>
      <c r="J8" s="324">
        <v>1</v>
      </c>
      <c r="K8" s="323" t="s">
        <v>794</v>
      </c>
      <c r="L8" s="323"/>
      <c r="M8" s="323">
        <v>7</v>
      </c>
      <c r="N8" s="323" t="s">
        <v>844</v>
      </c>
    </row>
    <row r="9" spans="1:14" ht="30">
      <c r="A9" s="323" t="s">
        <v>853</v>
      </c>
      <c r="B9" s="323" t="s">
        <v>854</v>
      </c>
      <c r="C9" s="323" t="s">
        <v>855</v>
      </c>
      <c r="D9" s="323" t="s">
        <v>6</v>
      </c>
      <c r="E9" s="323">
        <v>1</v>
      </c>
      <c r="F9" s="323">
        <v>1</v>
      </c>
      <c r="G9" s="323"/>
      <c r="H9" s="323" t="s">
        <v>803</v>
      </c>
      <c r="I9" s="323" t="s">
        <v>185</v>
      </c>
      <c r="J9" s="324">
        <v>0.72222222222222221</v>
      </c>
      <c r="K9" s="323" t="s">
        <v>794</v>
      </c>
      <c r="L9" s="323"/>
      <c r="M9" s="323">
        <v>8</v>
      </c>
      <c r="N9" s="323" t="s">
        <v>844</v>
      </c>
    </row>
    <row r="10" spans="1:14" ht="30">
      <c r="A10" s="323" t="s">
        <v>856</v>
      </c>
      <c r="B10" s="323" t="s">
        <v>857</v>
      </c>
      <c r="C10" s="323" t="s">
        <v>858</v>
      </c>
      <c r="D10" s="323" t="s">
        <v>6</v>
      </c>
      <c r="E10" s="323">
        <v>1</v>
      </c>
      <c r="F10" s="323">
        <v>1</v>
      </c>
      <c r="G10" s="323"/>
      <c r="H10" s="323" t="s">
        <v>803</v>
      </c>
      <c r="I10" s="323" t="s">
        <v>191</v>
      </c>
      <c r="J10" s="324">
        <v>1</v>
      </c>
      <c r="K10" s="323" t="s">
        <v>794</v>
      </c>
      <c r="L10" s="323"/>
      <c r="M10" s="323">
        <v>9</v>
      </c>
      <c r="N10" s="323" t="s">
        <v>844</v>
      </c>
    </row>
    <row r="11" spans="1:14">
      <c r="A11" s="323" t="s">
        <v>859</v>
      </c>
      <c r="B11" s="323" t="s">
        <v>860</v>
      </c>
      <c r="C11" s="323" t="s">
        <v>197</v>
      </c>
      <c r="D11" s="323" t="s">
        <v>6</v>
      </c>
      <c r="E11" s="323">
        <v>1</v>
      </c>
      <c r="F11" s="323">
        <v>1</v>
      </c>
      <c r="G11" s="323"/>
      <c r="H11" s="323" t="s">
        <v>796</v>
      </c>
      <c r="I11" s="323"/>
      <c r="J11" s="324"/>
      <c r="K11" s="323" t="s">
        <v>795</v>
      </c>
      <c r="L11" s="323" t="s">
        <v>861</v>
      </c>
      <c r="M11" s="323">
        <v>10</v>
      </c>
      <c r="N11" s="323" t="s">
        <v>862</v>
      </c>
    </row>
    <row r="12" spans="1:14">
      <c r="A12" s="323" t="s">
        <v>863</v>
      </c>
      <c r="B12" s="323" t="s">
        <v>864</v>
      </c>
      <c r="C12" s="323" t="s">
        <v>204</v>
      </c>
      <c r="D12" s="323" t="s">
        <v>6</v>
      </c>
      <c r="E12" s="323">
        <v>1</v>
      </c>
      <c r="F12" s="323">
        <v>1</v>
      </c>
      <c r="G12" s="323"/>
      <c r="H12" s="323" t="s">
        <v>796</v>
      </c>
      <c r="I12" s="323"/>
      <c r="J12" s="324"/>
      <c r="K12" s="323" t="s">
        <v>795</v>
      </c>
      <c r="L12" s="323" t="s">
        <v>865</v>
      </c>
      <c r="M12" s="323">
        <v>11</v>
      </c>
      <c r="N12" s="323" t="s">
        <v>862</v>
      </c>
    </row>
    <row r="13" spans="1:14" ht="30">
      <c r="A13" s="323" t="s">
        <v>866</v>
      </c>
      <c r="B13" s="323" t="s">
        <v>867</v>
      </c>
      <c r="C13" s="323" t="s">
        <v>868</v>
      </c>
      <c r="D13" s="323" t="s">
        <v>6</v>
      </c>
      <c r="E13" s="323">
        <v>1</v>
      </c>
      <c r="F13" s="323">
        <v>1</v>
      </c>
      <c r="G13" s="323"/>
      <c r="H13" s="323" t="s">
        <v>803</v>
      </c>
      <c r="I13" s="323" t="s">
        <v>217</v>
      </c>
      <c r="J13" s="324">
        <v>1</v>
      </c>
      <c r="K13" s="323" t="s">
        <v>794</v>
      </c>
      <c r="L13" s="323"/>
      <c r="M13" s="323">
        <v>12</v>
      </c>
      <c r="N13" s="323" t="s">
        <v>844</v>
      </c>
    </row>
    <row r="14" spans="1:14" ht="30">
      <c r="A14" s="323" t="s">
        <v>869</v>
      </c>
      <c r="B14" s="323" t="s">
        <v>870</v>
      </c>
      <c r="C14" s="323" t="s">
        <v>871</v>
      </c>
      <c r="D14" s="323" t="s">
        <v>6</v>
      </c>
      <c r="E14" s="323">
        <v>1</v>
      </c>
      <c r="F14" s="323">
        <v>1</v>
      </c>
      <c r="G14" s="323"/>
      <c r="H14" s="323" t="s">
        <v>803</v>
      </c>
      <c r="I14" s="323" t="s">
        <v>444</v>
      </c>
      <c r="J14" s="324">
        <v>1</v>
      </c>
      <c r="K14" s="323" t="s">
        <v>794</v>
      </c>
      <c r="L14" s="323"/>
      <c r="M14" s="323">
        <v>13</v>
      </c>
      <c r="N14" s="323" t="s">
        <v>844</v>
      </c>
    </row>
    <row r="15" spans="1:14">
      <c r="A15" s="323" t="s">
        <v>872</v>
      </c>
      <c r="B15" s="323" t="s">
        <v>873</v>
      </c>
      <c r="C15" s="323" t="s">
        <v>230</v>
      </c>
      <c r="D15" s="323" t="s">
        <v>6</v>
      </c>
      <c r="E15" s="323">
        <v>1</v>
      </c>
      <c r="F15" s="323">
        <v>1</v>
      </c>
      <c r="G15" s="323"/>
      <c r="H15" s="323" t="s">
        <v>796</v>
      </c>
      <c r="I15" s="323"/>
      <c r="J15" s="324"/>
      <c r="K15" s="323" t="s">
        <v>795</v>
      </c>
      <c r="L15" s="323" t="s">
        <v>874</v>
      </c>
      <c r="M15" s="323">
        <v>14</v>
      </c>
      <c r="N15" s="323" t="s">
        <v>862</v>
      </c>
    </row>
    <row r="16" spans="1:14" ht="30">
      <c r="A16" s="323" t="s">
        <v>875</v>
      </c>
      <c r="B16" s="323" t="s">
        <v>876</v>
      </c>
      <c r="C16" s="323" t="s">
        <v>877</v>
      </c>
      <c r="D16" s="323" t="s">
        <v>6</v>
      </c>
      <c r="E16" s="323">
        <v>1</v>
      </c>
      <c r="F16" s="323">
        <v>1</v>
      </c>
      <c r="G16" s="323"/>
      <c r="H16" s="323" t="s">
        <v>803</v>
      </c>
      <c r="I16" s="323" t="s">
        <v>161</v>
      </c>
      <c r="J16" s="324">
        <v>0.64705882352941169</v>
      </c>
      <c r="K16" s="323" t="s">
        <v>794</v>
      </c>
      <c r="L16" s="323"/>
      <c r="M16" s="323">
        <v>15</v>
      </c>
      <c r="N16" s="323" t="s">
        <v>844</v>
      </c>
    </row>
    <row r="17" spans="1:14" ht="30">
      <c r="A17" s="323" t="s">
        <v>878</v>
      </c>
      <c r="B17" s="323" t="s">
        <v>879</v>
      </c>
      <c r="C17" s="323" t="s">
        <v>880</v>
      </c>
      <c r="D17" s="323" t="s">
        <v>6</v>
      </c>
      <c r="E17" s="323">
        <v>1</v>
      </c>
      <c r="F17" s="323">
        <v>1</v>
      </c>
      <c r="G17" s="323"/>
      <c r="H17" s="323" t="s">
        <v>803</v>
      </c>
      <c r="I17" s="323" t="s">
        <v>289</v>
      </c>
      <c r="J17" s="324">
        <v>1</v>
      </c>
      <c r="K17" s="323" t="s">
        <v>794</v>
      </c>
      <c r="L17" s="323"/>
      <c r="M17" s="323">
        <v>16</v>
      </c>
      <c r="N17" s="323" t="s">
        <v>844</v>
      </c>
    </row>
    <row r="18" spans="1:14">
      <c r="A18" s="323" t="s">
        <v>881</v>
      </c>
      <c r="B18" s="323" t="s">
        <v>882</v>
      </c>
      <c r="C18" s="323" t="s">
        <v>22</v>
      </c>
      <c r="D18" s="323" t="s">
        <v>6</v>
      </c>
      <c r="E18" s="323">
        <v>1</v>
      </c>
      <c r="F18" s="323">
        <v>1</v>
      </c>
      <c r="G18" s="323"/>
      <c r="H18" s="323" t="s">
        <v>796</v>
      </c>
      <c r="I18" s="323"/>
      <c r="J18" s="324"/>
      <c r="K18" s="323" t="s">
        <v>795</v>
      </c>
      <c r="L18" s="323" t="s">
        <v>883</v>
      </c>
      <c r="M18" s="323">
        <v>17</v>
      </c>
      <c r="N18" s="323" t="s">
        <v>862</v>
      </c>
    </row>
    <row r="19" spans="1:14" ht="30">
      <c r="A19" s="323" t="s">
        <v>884</v>
      </c>
      <c r="B19" s="323" t="s">
        <v>885</v>
      </c>
      <c r="C19" s="323" t="s">
        <v>886</v>
      </c>
      <c r="D19" s="323" t="s">
        <v>6</v>
      </c>
      <c r="E19" s="323">
        <v>1</v>
      </c>
      <c r="F19" s="323">
        <v>1</v>
      </c>
      <c r="G19" s="323"/>
      <c r="H19" s="323" t="s">
        <v>803</v>
      </c>
      <c r="I19" s="323" t="s">
        <v>301</v>
      </c>
      <c r="J19" s="324">
        <v>1</v>
      </c>
      <c r="K19" s="323" t="s">
        <v>794</v>
      </c>
      <c r="L19" s="323"/>
      <c r="M19" s="323">
        <v>18</v>
      </c>
      <c r="N19" s="323" t="s">
        <v>844</v>
      </c>
    </row>
    <row r="20" spans="1:14" ht="30">
      <c r="A20" s="323" t="s">
        <v>887</v>
      </c>
      <c r="B20" s="323" t="s">
        <v>888</v>
      </c>
      <c r="C20" s="323" t="s">
        <v>889</v>
      </c>
      <c r="D20" s="323" t="s">
        <v>6</v>
      </c>
      <c r="E20" s="323">
        <v>0</v>
      </c>
      <c r="F20" s="323">
        <v>1</v>
      </c>
      <c r="G20" s="323"/>
      <c r="H20" s="323" t="s">
        <v>803</v>
      </c>
      <c r="I20" s="323" t="s">
        <v>341</v>
      </c>
      <c r="J20" s="324">
        <v>1</v>
      </c>
      <c r="K20" s="323" t="s">
        <v>794</v>
      </c>
      <c r="L20" s="323"/>
      <c r="M20" s="323">
        <v>19</v>
      </c>
      <c r="N20" s="323" t="s">
        <v>844</v>
      </c>
    </row>
    <row r="21" spans="1:14">
      <c r="A21" s="323" t="s">
        <v>890</v>
      </c>
      <c r="B21" s="323" t="s">
        <v>891</v>
      </c>
      <c r="C21" s="323" t="s">
        <v>26</v>
      </c>
      <c r="D21" s="323" t="s">
        <v>6</v>
      </c>
      <c r="E21" s="323">
        <v>1</v>
      </c>
      <c r="F21" s="323">
        <v>1</v>
      </c>
      <c r="G21" s="323"/>
      <c r="H21" s="323" t="s">
        <v>796</v>
      </c>
      <c r="I21" s="323"/>
      <c r="J21" s="324"/>
      <c r="K21" s="323" t="s">
        <v>795</v>
      </c>
      <c r="L21" s="323" t="s">
        <v>892</v>
      </c>
      <c r="M21" s="323">
        <v>20</v>
      </c>
      <c r="N21" s="323" t="s">
        <v>862</v>
      </c>
    </row>
    <row r="22" spans="1:14">
      <c r="A22" s="323" t="s">
        <v>893</v>
      </c>
      <c r="B22" s="323" t="s">
        <v>894</v>
      </c>
      <c r="C22" s="323" t="s">
        <v>30</v>
      </c>
      <c r="D22" s="323" t="s">
        <v>6</v>
      </c>
      <c r="E22" s="323">
        <v>1</v>
      </c>
      <c r="F22" s="323">
        <v>1</v>
      </c>
      <c r="G22" s="323"/>
      <c r="H22" s="323" t="s">
        <v>796</v>
      </c>
      <c r="I22" s="323"/>
      <c r="J22" s="324"/>
      <c r="K22" s="323" t="s">
        <v>795</v>
      </c>
      <c r="L22" s="323" t="s">
        <v>895</v>
      </c>
      <c r="M22" s="323">
        <v>21</v>
      </c>
      <c r="N22" s="323" t="s">
        <v>862</v>
      </c>
    </row>
    <row r="23" spans="1:14" ht="30">
      <c r="A23" s="323" t="s">
        <v>896</v>
      </c>
      <c r="B23" s="323" t="s">
        <v>897</v>
      </c>
      <c r="C23" s="323" t="s">
        <v>898</v>
      </c>
      <c r="D23" s="323" t="s">
        <v>6</v>
      </c>
      <c r="E23" s="323">
        <v>1</v>
      </c>
      <c r="F23" s="323">
        <v>1</v>
      </c>
      <c r="G23" s="323"/>
      <c r="H23" s="323" t="s">
        <v>803</v>
      </c>
      <c r="I23" s="323" t="s">
        <v>236</v>
      </c>
      <c r="J23" s="324">
        <v>0.88888888888888884</v>
      </c>
      <c r="K23" s="323" t="s">
        <v>794</v>
      </c>
      <c r="L23" s="323"/>
      <c r="M23" s="323">
        <v>22</v>
      </c>
      <c r="N23" s="323" t="s">
        <v>844</v>
      </c>
    </row>
    <row r="24" spans="1:14" ht="30">
      <c r="A24" s="323" t="s">
        <v>899</v>
      </c>
      <c r="B24" s="323" t="s">
        <v>900</v>
      </c>
      <c r="C24" s="323" t="s">
        <v>901</v>
      </c>
      <c r="D24" s="323" t="s">
        <v>6</v>
      </c>
      <c r="E24" s="323">
        <v>1</v>
      </c>
      <c r="F24" s="323">
        <v>1</v>
      </c>
      <c r="G24" s="323"/>
      <c r="H24" s="323" t="s">
        <v>803</v>
      </c>
      <c r="I24" s="323" t="s">
        <v>37</v>
      </c>
      <c r="J24" s="324">
        <v>1</v>
      </c>
      <c r="K24" s="323" t="s">
        <v>794</v>
      </c>
      <c r="L24" s="323"/>
      <c r="M24" s="323">
        <v>23</v>
      </c>
      <c r="N24" s="323" t="s">
        <v>844</v>
      </c>
    </row>
    <row r="25" spans="1:14">
      <c r="A25" s="323" t="s">
        <v>902</v>
      </c>
      <c r="B25" s="323" t="s">
        <v>903</v>
      </c>
      <c r="C25" s="323" t="s">
        <v>331</v>
      </c>
      <c r="D25" s="323" t="s">
        <v>6</v>
      </c>
      <c r="E25" s="323">
        <v>1</v>
      </c>
      <c r="F25" s="323">
        <v>1</v>
      </c>
      <c r="G25" s="323"/>
      <c r="H25" s="323" t="s">
        <v>796</v>
      </c>
      <c r="I25" s="323"/>
      <c r="J25" s="324"/>
      <c r="K25" s="323" t="s">
        <v>795</v>
      </c>
      <c r="L25" s="323" t="s">
        <v>904</v>
      </c>
      <c r="M25" s="323">
        <v>24</v>
      </c>
      <c r="N25" s="323" t="s">
        <v>862</v>
      </c>
    </row>
    <row r="26" spans="1:14" ht="30">
      <c r="A26" s="323" t="s">
        <v>905</v>
      </c>
      <c r="B26" s="323" t="s">
        <v>906</v>
      </c>
      <c r="C26" s="323" t="s">
        <v>907</v>
      </c>
      <c r="D26" s="323" t="s">
        <v>6</v>
      </c>
      <c r="E26" s="323">
        <v>1</v>
      </c>
      <c r="F26" s="323">
        <v>1</v>
      </c>
      <c r="G26" s="323"/>
      <c r="H26" s="323" t="s">
        <v>803</v>
      </c>
      <c r="I26" s="323" t="s">
        <v>243</v>
      </c>
      <c r="J26" s="324">
        <v>1</v>
      </c>
      <c r="K26" s="323" t="s">
        <v>794</v>
      </c>
      <c r="L26" s="323"/>
      <c r="M26" s="323">
        <v>25</v>
      </c>
      <c r="N26" s="323" t="s">
        <v>844</v>
      </c>
    </row>
    <row r="27" spans="1:14">
      <c r="A27" s="323" t="s">
        <v>908</v>
      </c>
      <c r="B27" s="323" t="s">
        <v>909</v>
      </c>
      <c r="C27" s="323" t="s">
        <v>336</v>
      </c>
      <c r="D27" s="323" t="s">
        <v>6</v>
      </c>
      <c r="E27" s="323">
        <v>1</v>
      </c>
      <c r="F27" s="323">
        <v>1</v>
      </c>
      <c r="G27" s="323"/>
      <c r="H27" s="323" t="s">
        <v>796</v>
      </c>
      <c r="I27" s="323"/>
      <c r="J27" s="324"/>
      <c r="K27" s="323" t="s">
        <v>795</v>
      </c>
      <c r="L27" s="323" t="s">
        <v>910</v>
      </c>
      <c r="M27" s="323">
        <v>26</v>
      </c>
      <c r="N27" s="323" t="s">
        <v>862</v>
      </c>
    </row>
    <row r="28" spans="1:14" ht="30">
      <c r="A28" s="323" t="s">
        <v>911</v>
      </c>
      <c r="B28" s="323"/>
      <c r="C28" s="323" t="s">
        <v>912</v>
      </c>
      <c r="D28" s="323" t="s">
        <v>6</v>
      </c>
      <c r="E28" s="323">
        <v>0</v>
      </c>
      <c r="F28" s="323"/>
      <c r="G28" s="323"/>
      <c r="H28" s="323" t="s">
        <v>803</v>
      </c>
      <c r="I28" s="323" t="s">
        <v>913</v>
      </c>
      <c r="J28" s="324">
        <v>0.9</v>
      </c>
      <c r="K28" s="323" t="s">
        <v>794</v>
      </c>
      <c r="L28" s="323"/>
      <c r="M28" s="323">
        <v>27</v>
      </c>
      <c r="N28" s="323" t="s">
        <v>844</v>
      </c>
    </row>
    <row r="29" spans="1:14" ht="30">
      <c r="A29" s="323" t="s">
        <v>914</v>
      </c>
      <c r="B29" s="323" t="s">
        <v>915</v>
      </c>
      <c r="C29" s="323" t="s">
        <v>40</v>
      </c>
      <c r="D29" s="323" t="s">
        <v>6</v>
      </c>
      <c r="E29" s="323">
        <v>1</v>
      </c>
      <c r="F29" s="323"/>
      <c r="G29" s="323"/>
      <c r="H29" s="323" t="s">
        <v>803</v>
      </c>
      <c r="I29" s="323" t="s">
        <v>347</v>
      </c>
      <c r="J29" s="324">
        <v>1</v>
      </c>
      <c r="K29" s="323" t="s">
        <v>794</v>
      </c>
      <c r="L29" s="323"/>
      <c r="M29" s="323">
        <v>28</v>
      </c>
      <c r="N29" s="323" t="s">
        <v>844</v>
      </c>
    </row>
    <row r="30" spans="1:14" ht="30">
      <c r="A30" s="323" t="s">
        <v>916</v>
      </c>
      <c r="B30" s="323" t="s">
        <v>917</v>
      </c>
      <c r="C30" s="323" t="s">
        <v>43</v>
      </c>
      <c r="D30" s="323" t="s">
        <v>6</v>
      </c>
      <c r="E30" s="323">
        <v>1</v>
      </c>
      <c r="F30" s="323">
        <v>1</v>
      </c>
      <c r="G30" s="323"/>
      <c r="H30" s="323" t="s">
        <v>803</v>
      </c>
      <c r="I30" s="323" t="s">
        <v>351</v>
      </c>
      <c r="J30" s="324">
        <v>1</v>
      </c>
      <c r="K30" s="323" t="s">
        <v>794</v>
      </c>
      <c r="L30" s="323"/>
      <c r="M30" s="323">
        <v>29</v>
      </c>
      <c r="N30" s="323" t="s">
        <v>844</v>
      </c>
    </row>
    <row r="31" spans="1:14" ht="30">
      <c r="A31" s="323" t="s">
        <v>918</v>
      </c>
      <c r="B31" s="323" t="s">
        <v>919</v>
      </c>
      <c r="C31" s="323" t="s">
        <v>920</v>
      </c>
      <c r="D31" s="323" t="s">
        <v>6</v>
      </c>
      <c r="E31" s="323">
        <v>1</v>
      </c>
      <c r="F31" s="323"/>
      <c r="G31" s="323"/>
      <c r="H31" s="323" t="s">
        <v>803</v>
      </c>
      <c r="I31" s="323" t="s">
        <v>361</v>
      </c>
      <c r="J31" s="324">
        <v>1</v>
      </c>
      <c r="K31" s="323" t="s">
        <v>794</v>
      </c>
      <c r="L31" s="323"/>
      <c r="M31" s="323">
        <v>30</v>
      </c>
      <c r="N31" s="323" t="s">
        <v>844</v>
      </c>
    </row>
    <row r="32" spans="1:14">
      <c r="A32" s="323" t="s">
        <v>921</v>
      </c>
      <c r="B32" s="323" t="s">
        <v>922</v>
      </c>
      <c r="C32" s="323" t="s">
        <v>224</v>
      </c>
      <c r="D32" s="323" t="s">
        <v>6</v>
      </c>
      <c r="E32" s="323">
        <v>0</v>
      </c>
      <c r="F32" s="323">
        <v>1</v>
      </c>
      <c r="G32" s="323"/>
      <c r="H32" s="323" t="s">
        <v>796</v>
      </c>
      <c r="I32" s="323"/>
      <c r="J32" s="324"/>
      <c r="K32" s="323" t="s">
        <v>795</v>
      </c>
      <c r="L32" s="323" t="s">
        <v>923</v>
      </c>
      <c r="M32" s="323">
        <v>31</v>
      </c>
      <c r="N32" s="323" t="s">
        <v>862</v>
      </c>
    </row>
    <row r="33" spans="1:14" ht="30">
      <c r="A33" s="323" t="s">
        <v>924</v>
      </c>
      <c r="B33" s="323" t="s">
        <v>925</v>
      </c>
      <c r="C33" s="323" t="s">
        <v>926</v>
      </c>
      <c r="D33" s="323" t="s">
        <v>6</v>
      </c>
      <c r="E33" s="323">
        <v>1</v>
      </c>
      <c r="F33" s="323">
        <v>1</v>
      </c>
      <c r="G33" s="323"/>
      <c r="H33" s="323" t="s">
        <v>803</v>
      </c>
      <c r="I33" s="323" t="s">
        <v>367</v>
      </c>
      <c r="J33" s="324">
        <v>1</v>
      </c>
      <c r="K33" s="323" t="s">
        <v>794</v>
      </c>
      <c r="L33" s="323"/>
      <c r="M33" s="323">
        <v>32</v>
      </c>
      <c r="N33" s="323" t="s">
        <v>844</v>
      </c>
    </row>
    <row r="34" spans="1:14">
      <c r="A34" s="323" t="s">
        <v>927</v>
      </c>
      <c r="B34" s="323" t="s">
        <v>928</v>
      </c>
      <c r="C34" s="323" t="s">
        <v>373</v>
      </c>
      <c r="D34" s="323" t="s">
        <v>6</v>
      </c>
      <c r="E34" s="323">
        <v>1</v>
      </c>
      <c r="F34" s="323">
        <v>1</v>
      </c>
      <c r="G34" s="323"/>
      <c r="H34" s="323" t="s">
        <v>796</v>
      </c>
      <c r="I34" s="323"/>
      <c r="J34" s="324"/>
      <c r="K34" s="323" t="s">
        <v>795</v>
      </c>
      <c r="L34" s="323" t="s">
        <v>929</v>
      </c>
      <c r="M34" s="323">
        <v>33</v>
      </c>
      <c r="N34" s="323" t="s">
        <v>862</v>
      </c>
    </row>
    <row r="35" spans="1:14">
      <c r="A35" s="323" t="s">
        <v>930</v>
      </c>
      <c r="B35" s="323" t="s">
        <v>931</v>
      </c>
      <c r="C35" s="323" t="s">
        <v>263</v>
      </c>
      <c r="D35" s="323" t="s">
        <v>6</v>
      </c>
      <c r="E35" s="323">
        <v>0</v>
      </c>
      <c r="F35" s="323"/>
      <c r="G35" s="323"/>
      <c r="H35" s="323" t="s">
        <v>796</v>
      </c>
      <c r="I35" s="323"/>
      <c r="J35" s="324"/>
      <c r="K35" s="323" t="s">
        <v>795</v>
      </c>
      <c r="L35" s="323" t="s">
        <v>932</v>
      </c>
      <c r="M35" s="323">
        <v>34</v>
      </c>
      <c r="N35" s="323" t="s">
        <v>862</v>
      </c>
    </row>
    <row r="36" spans="1:14" ht="30">
      <c r="A36" s="323" t="s">
        <v>933</v>
      </c>
      <c r="B36" s="323" t="s">
        <v>934</v>
      </c>
      <c r="C36" s="323" t="s">
        <v>935</v>
      </c>
      <c r="D36" s="323" t="s">
        <v>6</v>
      </c>
      <c r="E36" s="323">
        <v>1</v>
      </c>
      <c r="F36" s="323">
        <v>1</v>
      </c>
      <c r="G36" s="323"/>
      <c r="H36" s="323" t="s">
        <v>803</v>
      </c>
      <c r="I36" s="323" t="s">
        <v>377</v>
      </c>
      <c r="J36" s="324">
        <v>1</v>
      </c>
      <c r="K36" s="323" t="s">
        <v>794</v>
      </c>
      <c r="L36" s="323"/>
      <c r="M36" s="323">
        <v>35</v>
      </c>
      <c r="N36" s="323" t="s">
        <v>844</v>
      </c>
    </row>
    <row r="37" spans="1:14" ht="30">
      <c r="A37" s="323" t="s">
        <v>936</v>
      </c>
      <c r="B37" s="323"/>
      <c r="C37" s="323" t="s">
        <v>937</v>
      </c>
      <c r="D37" s="323" t="s">
        <v>6</v>
      </c>
      <c r="E37" s="323">
        <v>0</v>
      </c>
      <c r="F37" s="323"/>
      <c r="G37" s="323"/>
      <c r="H37" s="323" t="s">
        <v>803</v>
      </c>
      <c r="I37" s="323" t="s">
        <v>396</v>
      </c>
      <c r="J37" s="324">
        <v>0.46666666666666667</v>
      </c>
      <c r="K37" s="323" t="s">
        <v>794</v>
      </c>
      <c r="L37" s="323"/>
      <c r="M37" s="323">
        <v>36</v>
      </c>
      <c r="N37" s="323" t="s">
        <v>844</v>
      </c>
    </row>
    <row r="38" spans="1:14" ht="30">
      <c r="A38" s="323" t="s">
        <v>938</v>
      </c>
      <c r="B38" s="323" t="s">
        <v>939</v>
      </c>
      <c r="C38" s="323" t="s">
        <v>940</v>
      </c>
      <c r="D38" s="323" t="s">
        <v>6</v>
      </c>
      <c r="E38" s="323">
        <v>1</v>
      </c>
      <c r="F38" s="323">
        <v>1</v>
      </c>
      <c r="G38" s="323"/>
      <c r="H38" s="323" t="s">
        <v>803</v>
      </c>
      <c r="I38" s="323" t="s">
        <v>248</v>
      </c>
      <c r="J38" s="324">
        <v>1</v>
      </c>
      <c r="K38" s="323" t="s">
        <v>794</v>
      </c>
      <c r="L38" s="323"/>
      <c r="M38" s="323">
        <v>37</v>
      </c>
      <c r="N38" s="323" t="s">
        <v>844</v>
      </c>
    </row>
    <row r="39" spans="1:14">
      <c r="A39" s="323" t="s">
        <v>941</v>
      </c>
      <c r="B39" s="323" t="s">
        <v>942</v>
      </c>
      <c r="C39" s="323" t="s">
        <v>380</v>
      </c>
      <c r="D39" s="323" t="s">
        <v>6</v>
      </c>
      <c r="E39" s="323">
        <v>1</v>
      </c>
      <c r="F39" s="323">
        <v>1</v>
      </c>
      <c r="G39" s="323"/>
      <c r="H39" s="323" t="s">
        <v>796</v>
      </c>
      <c r="I39" s="323"/>
      <c r="J39" s="324"/>
      <c r="K39" s="323" t="s">
        <v>795</v>
      </c>
      <c r="L39" s="323" t="s">
        <v>943</v>
      </c>
      <c r="M39" s="323">
        <v>38</v>
      </c>
      <c r="N39" s="323" t="s">
        <v>862</v>
      </c>
    </row>
    <row r="40" spans="1:14">
      <c r="A40" s="323" t="s">
        <v>944</v>
      </c>
      <c r="B40" s="323" t="s">
        <v>945</v>
      </c>
      <c r="C40" s="323" t="s">
        <v>47</v>
      </c>
      <c r="D40" s="323" t="s">
        <v>6</v>
      </c>
      <c r="E40" s="323">
        <v>1</v>
      </c>
      <c r="F40" s="323"/>
      <c r="G40" s="323"/>
      <c r="H40" s="323" t="s">
        <v>796</v>
      </c>
      <c r="I40" s="323"/>
      <c r="J40" s="324"/>
      <c r="K40" s="323" t="s">
        <v>795</v>
      </c>
      <c r="L40" s="323" t="s">
        <v>946</v>
      </c>
      <c r="M40" s="323">
        <v>39</v>
      </c>
      <c r="N40" s="323" t="s">
        <v>862</v>
      </c>
    </row>
    <row r="41" spans="1:14">
      <c r="A41" s="323" t="s">
        <v>947</v>
      </c>
      <c r="B41" s="323" t="s">
        <v>948</v>
      </c>
      <c r="C41" s="323" t="s">
        <v>50</v>
      </c>
      <c r="D41" s="323" t="s">
        <v>6</v>
      </c>
      <c r="E41" s="323">
        <v>1</v>
      </c>
      <c r="F41" s="323"/>
      <c r="G41" s="323"/>
      <c r="H41" s="323" t="s">
        <v>796</v>
      </c>
      <c r="I41" s="323"/>
      <c r="J41" s="324"/>
      <c r="K41" s="323" t="s">
        <v>795</v>
      </c>
      <c r="L41" s="323" t="s">
        <v>949</v>
      </c>
      <c r="M41" s="323">
        <v>40</v>
      </c>
      <c r="N41" s="323" t="s">
        <v>862</v>
      </c>
    </row>
    <row r="42" spans="1:14" ht="30">
      <c r="A42" s="323" t="s">
        <v>950</v>
      </c>
      <c r="B42" s="323" t="s">
        <v>951</v>
      </c>
      <c r="C42" s="323" t="s">
        <v>952</v>
      </c>
      <c r="D42" s="323" t="s">
        <v>6</v>
      </c>
      <c r="E42" s="323">
        <v>1</v>
      </c>
      <c r="F42" s="323">
        <v>1</v>
      </c>
      <c r="G42" s="323"/>
      <c r="H42" s="323" t="s">
        <v>803</v>
      </c>
      <c r="I42" s="323" t="s">
        <v>256</v>
      </c>
      <c r="J42" s="324">
        <v>1</v>
      </c>
      <c r="K42" s="323" t="s">
        <v>794</v>
      </c>
      <c r="L42" s="323"/>
      <c r="M42" s="323">
        <v>41</v>
      </c>
      <c r="N42" s="323" t="s">
        <v>844</v>
      </c>
    </row>
    <row r="43" spans="1:14" ht="30">
      <c r="A43" s="323" t="s">
        <v>953</v>
      </c>
      <c r="B43" s="323" t="s">
        <v>954</v>
      </c>
      <c r="C43" s="323" t="s">
        <v>955</v>
      </c>
      <c r="D43" s="323" t="s">
        <v>6</v>
      </c>
      <c r="E43" s="323">
        <v>1</v>
      </c>
      <c r="F43" s="323">
        <v>1</v>
      </c>
      <c r="G43" s="323"/>
      <c r="H43" s="323" t="s">
        <v>803</v>
      </c>
      <c r="I43" s="323" t="s">
        <v>401</v>
      </c>
      <c r="J43" s="324">
        <v>0.83333333333333337</v>
      </c>
      <c r="K43" s="323" t="s">
        <v>794</v>
      </c>
      <c r="L43" s="323"/>
      <c r="M43" s="323">
        <v>42</v>
      </c>
      <c r="N43" s="323" t="s">
        <v>844</v>
      </c>
    </row>
    <row r="44" spans="1:14">
      <c r="A44" s="323" t="s">
        <v>956</v>
      </c>
      <c r="B44" s="323" t="s">
        <v>957</v>
      </c>
      <c r="C44" s="323" t="s">
        <v>407</v>
      </c>
      <c r="D44" s="323" t="s">
        <v>6</v>
      </c>
      <c r="E44" s="323">
        <v>1</v>
      </c>
      <c r="F44" s="323">
        <v>1</v>
      </c>
      <c r="G44" s="323"/>
      <c r="H44" s="323" t="s">
        <v>796</v>
      </c>
      <c r="I44" s="323"/>
      <c r="J44" s="324"/>
      <c r="K44" s="323" t="s">
        <v>795</v>
      </c>
      <c r="L44" s="323" t="s">
        <v>958</v>
      </c>
      <c r="M44" s="323">
        <v>43</v>
      </c>
      <c r="N44" s="323" t="s">
        <v>862</v>
      </c>
    </row>
    <row r="45" spans="1:14" ht="30">
      <c r="A45" s="323" t="s">
        <v>959</v>
      </c>
      <c r="B45" s="323" t="s">
        <v>960</v>
      </c>
      <c r="C45" s="323" t="s">
        <v>961</v>
      </c>
      <c r="D45" s="323" t="s">
        <v>6</v>
      </c>
      <c r="E45" s="323">
        <v>1</v>
      </c>
      <c r="F45" s="323">
        <v>1</v>
      </c>
      <c r="G45" s="323"/>
      <c r="H45" s="323" t="s">
        <v>803</v>
      </c>
      <c r="I45" s="323" t="s">
        <v>55</v>
      </c>
      <c r="J45" s="324">
        <v>0.58823529411764708</v>
      </c>
      <c r="K45" s="323" t="s">
        <v>794</v>
      </c>
      <c r="L45" s="323"/>
      <c r="M45" s="323">
        <v>44</v>
      </c>
      <c r="N45" s="323" t="s">
        <v>844</v>
      </c>
    </row>
    <row r="46" spans="1:14">
      <c r="A46" s="323" t="s">
        <v>962</v>
      </c>
      <c r="B46" s="323" t="s">
        <v>963</v>
      </c>
      <c r="C46" s="323" t="s">
        <v>429</v>
      </c>
      <c r="D46" s="323" t="s">
        <v>6</v>
      </c>
      <c r="E46" s="323">
        <v>0</v>
      </c>
      <c r="F46" s="323">
        <v>1</v>
      </c>
      <c r="G46" s="323"/>
      <c r="H46" s="323" t="s">
        <v>796</v>
      </c>
      <c r="I46" s="323"/>
      <c r="J46" s="324"/>
      <c r="K46" s="323" t="s">
        <v>795</v>
      </c>
      <c r="L46" s="323" t="s">
        <v>964</v>
      </c>
      <c r="M46" s="323">
        <v>45</v>
      </c>
      <c r="N46" s="323" t="s">
        <v>862</v>
      </c>
    </row>
    <row r="47" spans="1:14" ht="30">
      <c r="A47" s="323" t="s">
        <v>965</v>
      </c>
      <c r="B47" s="323" t="s">
        <v>966</v>
      </c>
      <c r="C47" s="323" t="s">
        <v>967</v>
      </c>
      <c r="D47" s="323" t="s">
        <v>6</v>
      </c>
      <c r="E47" s="323">
        <v>1</v>
      </c>
      <c r="F47" s="323">
        <v>1</v>
      </c>
      <c r="G47" s="323"/>
      <c r="H47" s="323" t="s">
        <v>803</v>
      </c>
      <c r="I47" s="323" t="s">
        <v>56</v>
      </c>
      <c r="J47" s="324">
        <v>0.91666666666666663</v>
      </c>
      <c r="K47" s="323" t="s">
        <v>794</v>
      </c>
      <c r="L47" s="323"/>
      <c r="M47" s="323">
        <v>46</v>
      </c>
      <c r="N47" s="323" t="s">
        <v>844</v>
      </c>
    </row>
    <row r="48" spans="1:14" ht="30">
      <c r="A48" s="323" t="s">
        <v>968</v>
      </c>
      <c r="B48" s="323" t="s">
        <v>969</v>
      </c>
      <c r="C48" s="323" t="s">
        <v>970</v>
      </c>
      <c r="D48" s="323" t="s">
        <v>6</v>
      </c>
      <c r="E48" s="323">
        <v>1</v>
      </c>
      <c r="F48" s="323">
        <v>1</v>
      </c>
      <c r="G48" s="323"/>
      <c r="H48" s="323" t="s">
        <v>803</v>
      </c>
      <c r="I48" s="323" t="s">
        <v>971</v>
      </c>
      <c r="J48" s="324">
        <v>1</v>
      </c>
      <c r="K48" s="323" t="s">
        <v>794</v>
      </c>
      <c r="L48" s="323"/>
      <c r="M48" s="323">
        <v>47</v>
      </c>
      <c r="N48" s="323" t="s">
        <v>844</v>
      </c>
    </row>
    <row r="49" spans="1:14" ht="30">
      <c r="A49" s="323" t="s">
        <v>972</v>
      </c>
      <c r="B49" s="323" t="s">
        <v>973</v>
      </c>
      <c r="C49" s="323" t="s">
        <v>974</v>
      </c>
      <c r="D49" s="323" t="s">
        <v>6</v>
      </c>
      <c r="E49" s="323">
        <v>1</v>
      </c>
      <c r="F49" s="323"/>
      <c r="G49" s="323"/>
      <c r="H49" s="323" t="s">
        <v>803</v>
      </c>
      <c r="I49" s="323" t="s">
        <v>356</v>
      </c>
      <c r="J49" s="324">
        <v>1</v>
      </c>
      <c r="K49" s="323" t="s">
        <v>794</v>
      </c>
      <c r="L49" s="323"/>
      <c r="M49" s="323">
        <v>48</v>
      </c>
      <c r="N49" s="323" t="s">
        <v>844</v>
      </c>
    </row>
    <row r="50" spans="1:14" ht="30">
      <c r="A50" s="323" t="s">
        <v>975</v>
      </c>
      <c r="B50" s="323" t="s">
        <v>976</v>
      </c>
      <c r="C50" s="323" t="s">
        <v>977</v>
      </c>
      <c r="D50" s="323" t="s">
        <v>6</v>
      </c>
      <c r="E50" s="323">
        <v>1</v>
      </c>
      <c r="F50" s="323">
        <v>1</v>
      </c>
      <c r="G50" s="323"/>
      <c r="H50" s="323" t="s">
        <v>803</v>
      </c>
      <c r="I50" s="323" t="s">
        <v>456</v>
      </c>
      <c r="J50" s="324">
        <v>1</v>
      </c>
      <c r="K50" s="323" t="s">
        <v>794</v>
      </c>
      <c r="L50" s="323"/>
      <c r="M50" s="323">
        <v>49</v>
      </c>
      <c r="N50" s="323" t="s">
        <v>844</v>
      </c>
    </row>
    <row r="51" spans="1:14">
      <c r="A51" s="323" t="s">
        <v>978</v>
      </c>
      <c r="B51" s="323" t="s">
        <v>979</v>
      </c>
      <c r="C51" s="323" t="s">
        <v>58</v>
      </c>
      <c r="D51" s="323" t="s">
        <v>6</v>
      </c>
      <c r="E51" s="323">
        <v>1</v>
      </c>
      <c r="F51" s="323">
        <v>1</v>
      </c>
      <c r="G51" s="323"/>
      <c r="H51" s="323" t="s">
        <v>796</v>
      </c>
      <c r="I51" s="323"/>
      <c r="J51" s="324"/>
      <c r="K51" s="323" t="s">
        <v>795</v>
      </c>
      <c r="L51" s="323" t="s">
        <v>980</v>
      </c>
      <c r="M51" s="323">
        <v>50</v>
      </c>
      <c r="N51" s="323" t="s">
        <v>862</v>
      </c>
    </row>
    <row r="52" spans="1:14">
      <c r="A52" s="323" t="s">
        <v>981</v>
      </c>
      <c r="B52" s="323" t="s">
        <v>982</v>
      </c>
      <c r="C52" s="323" t="s">
        <v>273</v>
      </c>
      <c r="D52" s="323" t="s">
        <v>6</v>
      </c>
      <c r="E52" s="323">
        <v>1</v>
      </c>
      <c r="F52" s="323">
        <v>1</v>
      </c>
      <c r="G52" s="323"/>
      <c r="H52" s="323" t="s">
        <v>796</v>
      </c>
      <c r="I52" s="323"/>
      <c r="J52" s="324"/>
      <c r="K52" s="323" t="s">
        <v>795</v>
      </c>
      <c r="L52" s="323" t="s">
        <v>983</v>
      </c>
      <c r="M52" s="323">
        <v>51</v>
      </c>
      <c r="N52" s="323" t="s">
        <v>862</v>
      </c>
    </row>
    <row r="53" spans="1:14" ht="30">
      <c r="A53" s="323" t="s">
        <v>984</v>
      </c>
      <c r="B53" s="323"/>
      <c r="C53" s="323" t="s">
        <v>985</v>
      </c>
      <c r="D53" s="323" t="s">
        <v>6</v>
      </c>
      <c r="E53" s="323">
        <v>0</v>
      </c>
      <c r="F53" s="323"/>
      <c r="G53" s="323"/>
      <c r="H53" s="323" t="s">
        <v>803</v>
      </c>
      <c r="I53" s="323" t="s">
        <v>58</v>
      </c>
      <c r="J53" s="324">
        <v>1</v>
      </c>
      <c r="K53" s="323" t="s">
        <v>794</v>
      </c>
      <c r="L53" s="323"/>
      <c r="M53" s="323">
        <v>52</v>
      </c>
      <c r="N53" s="323" t="s">
        <v>844</v>
      </c>
    </row>
    <row r="54" spans="1:14">
      <c r="A54" s="323" t="s">
        <v>986</v>
      </c>
      <c r="B54" s="323" t="s">
        <v>987</v>
      </c>
      <c r="C54" s="323" t="s">
        <v>439</v>
      </c>
      <c r="D54" s="323" t="s">
        <v>6</v>
      </c>
      <c r="E54" s="323">
        <v>1</v>
      </c>
      <c r="F54" s="323">
        <v>1</v>
      </c>
      <c r="G54" s="323"/>
      <c r="H54" s="323" t="s">
        <v>796</v>
      </c>
      <c r="I54" s="323"/>
      <c r="J54" s="324"/>
      <c r="K54" s="323" t="s">
        <v>795</v>
      </c>
      <c r="L54" s="323" t="s">
        <v>988</v>
      </c>
      <c r="M54" s="323">
        <v>53</v>
      </c>
      <c r="N54" s="323" t="s">
        <v>862</v>
      </c>
    </row>
    <row r="55" spans="1:14">
      <c r="A55" s="323" t="s">
        <v>989</v>
      </c>
      <c r="B55" s="323" t="s">
        <v>990</v>
      </c>
      <c r="C55" s="323" t="s">
        <v>469</v>
      </c>
      <c r="D55" s="323" t="s">
        <v>6</v>
      </c>
      <c r="E55" s="323">
        <v>1</v>
      </c>
      <c r="F55" s="323">
        <v>1</v>
      </c>
      <c r="G55" s="323"/>
      <c r="H55" s="323" t="s">
        <v>796</v>
      </c>
      <c r="I55" s="323"/>
      <c r="J55" s="324"/>
      <c r="K55" s="323" t="s">
        <v>795</v>
      </c>
      <c r="L55" s="323" t="s">
        <v>991</v>
      </c>
      <c r="M55" s="323">
        <v>54</v>
      </c>
      <c r="N55" s="323" t="s">
        <v>862</v>
      </c>
    </row>
    <row r="56" spans="1:14" ht="30">
      <c r="A56" s="323" t="s">
        <v>992</v>
      </c>
      <c r="B56" s="323" t="s">
        <v>993</v>
      </c>
      <c r="C56" s="323" t="s">
        <v>994</v>
      </c>
      <c r="D56" s="323" t="s">
        <v>6</v>
      </c>
      <c r="E56" s="323">
        <v>1</v>
      </c>
      <c r="F56" s="323">
        <v>1</v>
      </c>
      <c r="G56" s="323"/>
      <c r="H56" s="323" t="s">
        <v>803</v>
      </c>
      <c r="I56" s="323" t="s">
        <v>211</v>
      </c>
      <c r="J56" s="324">
        <v>1</v>
      </c>
      <c r="K56" s="323" t="s">
        <v>794</v>
      </c>
      <c r="L56" s="323"/>
      <c r="M56" s="323">
        <v>55</v>
      </c>
      <c r="N56" s="323" t="s">
        <v>844</v>
      </c>
    </row>
    <row r="57" spans="1:14" ht="30">
      <c r="A57" s="323" t="s">
        <v>995</v>
      </c>
      <c r="B57" s="323" t="s">
        <v>996</v>
      </c>
      <c r="C57" s="323" t="s">
        <v>997</v>
      </c>
      <c r="D57" s="323" t="s">
        <v>6</v>
      </c>
      <c r="E57" s="323">
        <v>1</v>
      </c>
      <c r="F57" s="323">
        <v>1</v>
      </c>
      <c r="G57" s="323"/>
      <c r="H57" s="323" t="s">
        <v>803</v>
      </c>
      <c r="I57" s="323" t="s">
        <v>423</v>
      </c>
      <c r="J57" s="324">
        <v>1</v>
      </c>
      <c r="K57" s="323" t="s">
        <v>794</v>
      </c>
      <c r="L57" s="323"/>
      <c r="M57" s="323">
        <v>56</v>
      </c>
      <c r="N57" s="323" t="s">
        <v>844</v>
      </c>
    </row>
    <row r="58" spans="1:14" ht="30">
      <c r="A58" s="323" t="s">
        <v>998</v>
      </c>
      <c r="B58" s="323" t="s">
        <v>999</v>
      </c>
      <c r="C58" s="323" t="s">
        <v>1000</v>
      </c>
      <c r="D58" s="323" t="s">
        <v>6</v>
      </c>
      <c r="E58" s="323">
        <v>1</v>
      </c>
      <c r="F58" s="323">
        <v>1</v>
      </c>
      <c r="G58" s="323"/>
      <c r="H58" s="323" t="s">
        <v>803</v>
      </c>
      <c r="I58" s="323" t="s">
        <v>913</v>
      </c>
      <c r="J58" s="324">
        <v>0.75</v>
      </c>
      <c r="K58" s="323" t="s">
        <v>794</v>
      </c>
      <c r="L58" s="323"/>
      <c r="M58" s="323">
        <v>57</v>
      </c>
      <c r="N58" s="323" t="s">
        <v>844</v>
      </c>
    </row>
    <row r="59" spans="1:14" ht="30">
      <c r="A59" s="323" t="s">
        <v>1001</v>
      </c>
      <c r="B59" s="323" t="s">
        <v>1002</v>
      </c>
      <c r="C59" s="323" t="s">
        <v>1003</v>
      </c>
      <c r="D59" s="323" t="s">
        <v>6</v>
      </c>
      <c r="E59" s="323">
        <v>1</v>
      </c>
      <c r="F59" s="323">
        <v>1</v>
      </c>
      <c r="G59" s="323"/>
      <c r="H59" s="323" t="s">
        <v>803</v>
      </c>
      <c r="I59" s="323" t="s">
        <v>418</v>
      </c>
      <c r="J59" s="324">
        <v>1</v>
      </c>
      <c r="K59" s="323" t="s">
        <v>794</v>
      </c>
      <c r="L59" s="323"/>
      <c r="M59" s="323">
        <v>58</v>
      </c>
      <c r="N59" s="323" t="s">
        <v>844</v>
      </c>
    </row>
    <row r="60" spans="1:14">
      <c r="A60" s="323" t="s">
        <v>1004</v>
      </c>
      <c r="B60" s="323" t="s">
        <v>1005</v>
      </c>
      <c r="C60" s="323" t="s">
        <v>65</v>
      </c>
      <c r="D60" s="323" t="s">
        <v>10</v>
      </c>
      <c r="E60" s="323">
        <v>1</v>
      </c>
      <c r="F60" s="323">
        <v>1</v>
      </c>
      <c r="G60" s="323"/>
      <c r="H60" s="323" t="s">
        <v>796</v>
      </c>
      <c r="I60" s="323"/>
      <c r="J60" s="324"/>
      <c r="K60" s="323" t="s">
        <v>795</v>
      </c>
      <c r="L60" s="323" t="s">
        <v>1006</v>
      </c>
      <c r="M60" s="323">
        <v>4</v>
      </c>
      <c r="N60" s="323" t="s">
        <v>862</v>
      </c>
    </row>
    <row r="61" spans="1:14" ht="30">
      <c r="A61" s="323" t="s">
        <v>1007</v>
      </c>
      <c r="B61" s="323"/>
      <c r="C61" s="323" t="s">
        <v>1008</v>
      </c>
      <c r="D61" s="323" t="s">
        <v>10</v>
      </c>
      <c r="E61" s="323"/>
      <c r="F61" s="323"/>
      <c r="G61" s="323"/>
      <c r="H61" s="323" t="s">
        <v>803</v>
      </c>
      <c r="I61" s="323" t="s">
        <v>185</v>
      </c>
      <c r="J61" s="324">
        <v>0.38888888888888884</v>
      </c>
      <c r="K61" s="323" t="s">
        <v>794</v>
      </c>
      <c r="L61" s="323"/>
      <c r="M61" s="323">
        <v>6</v>
      </c>
      <c r="N61" s="323" t="s">
        <v>844</v>
      </c>
    </row>
    <row r="62" spans="1:14" ht="30">
      <c r="A62" s="323" t="s">
        <v>1009</v>
      </c>
      <c r="B62" s="323" t="s">
        <v>1010</v>
      </c>
      <c r="C62" s="323" t="s">
        <v>1011</v>
      </c>
      <c r="D62" s="323" t="s">
        <v>10</v>
      </c>
      <c r="E62" s="323">
        <v>1</v>
      </c>
      <c r="F62" s="323">
        <v>1</v>
      </c>
      <c r="G62" s="323"/>
      <c r="H62" s="323" t="s">
        <v>803</v>
      </c>
      <c r="I62" s="323" t="s">
        <v>161</v>
      </c>
      <c r="J62" s="324">
        <v>0.75</v>
      </c>
      <c r="K62" s="323" t="s">
        <v>794</v>
      </c>
      <c r="L62" s="323"/>
      <c r="M62" s="323">
        <v>7</v>
      </c>
      <c r="N62" s="323" t="s">
        <v>844</v>
      </c>
    </row>
    <row r="63" spans="1:14">
      <c r="A63" s="323" t="s">
        <v>1012</v>
      </c>
      <c r="B63" s="323" t="s">
        <v>1013</v>
      </c>
      <c r="C63" s="323" t="s">
        <v>637</v>
      </c>
      <c r="D63" s="323" t="s">
        <v>29</v>
      </c>
      <c r="E63" s="323">
        <v>1</v>
      </c>
      <c r="F63" s="323">
        <v>1</v>
      </c>
      <c r="G63" s="323"/>
      <c r="H63" s="323" t="s">
        <v>796</v>
      </c>
      <c r="I63" s="323"/>
      <c r="J63" s="324"/>
      <c r="K63" s="323" t="s">
        <v>795</v>
      </c>
      <c r="L63" s="323" t="s">
        <v>1014</v>
      </c>
      <c r="M63" s="323">
        <v>4</v>
      </c>
      <c r="N63" s="323" t="s">
        <v>862</v>
      </c>
    </row>
    <row r="64" spans="1:14">
      <c r="A64" s="323" t="s">
        <v>1015</v>
      </c>
      <c r="B64" s="323" t="s">
        <v>1016</v>
      </c>
      <c r="C64" s="323" t="s">
        <v>107</v>
      </c>
      <c r="D64" s="323" t="s">
        <v>29</v>
      </c>
      <c r="E64" s="323">
        <v>1</v>
      </c>
      <c r="F64" s="323">
        <v>1</v>
      </c>
      <c r="G64" s="323"/>
      <c r="H64" s="323" t="s">
        <v>796</v>
      </c>
      <c r="I64" s="323"/>
      <c r="J64" s="324"/>
      <c r="K64" s="323" t="s">
        <v>795</v>
      </c>
      <c r="L64" s="323" t="s">
        <v>1017</v>
      </c>
      <c r="M64" s="323">
        <v>5</v>
      </c>
      <c r="N64" s="323" t="s">
        <v>862</v>
      </c>
    </row>
    <row r="65" spans="1:14">
      <c r="A65" s="323" t="s">
        <v>1018</v>
      </c>
      <c r="B65" s="323" t="s">
        <v>1019</v>
      </c>
      <c r="C65" s="323" t="s">
        <v>109</v>
      </c>
      <c r="D65" s="323" t="s">
        <v>29</v>
      </c>
      <c r="E65" s="323">
        <v>1</v>
      </c>
      <c r="F65" s="323">
        <v>1</v>
      </c>
      <c r="G65" s="323"/>
      <c r="H65" s="323" t="s">
        <v>796</v>
      </c>
      <c r="I65" s="323"/>
      <c r="J65" s="324"/>
      <c r="K65" s="323" t="s">
        <v>795</v>
      </c>
      <c r="L65" s="323" t="s">
        <v>1020</v>
      </c>
      <c r="M65" s="323">
        <v>6</v>
      </c>
      <c r="N65" s="323" t="s">
        <v>862</v>
      </c>
    </row>
    <row r="66" spans="1:14" ht="30">
      <c r="A66" s="323" t="s">
        <v>1021</v>
      </c>
      <c r="B66" s="323"/>
      <c r="C66" s="323" t="s">
        <v>1022</v>
      </c>
      <c r="D66" s="323" t="s">
        <v>29</v>
      </c>
      <c r="E66" s="323"/>
      <c r="F66" s="323"/>
      <c r="G66" s="323"/>
      <c r="H66" s="323" t="s">
        <v>803</v>
      </c>
      <c r="I66" s="323" t="s">
        <v>224</v>
      </c>
      <c r="J66" s="324">
        <v>0.41176470588235292</v>
      </c>
      <c r="K66" s="323" t="s">
        <v>794</v>
      </c>
      <c r="L66" s="323"/>
      <c r="M66" s="323">
        <v>7</v>
      </c>
      <c r="N66" s="323" t="s">
        <v>844</v>
      </c>
    </row>
    <row r="67" spans="1:14" ht="30">
      <c r="A67" s="323" t="s">
        <v>1023</v>
      </c>
      <c r="B67" s="323" t="s">
        <v>1024</v>
      </c>
      <c r="C67" s="323" t="s">
        <v>1025</v>
      </c>
      <c r="D67" s="323" t="s">
        <v>29</v>
      </c>
      <c r="E67" s="323">
        <v>1</v>
      </c>
      <c r="F67" s="323">
        <v>1</v>
      </c>
      <c r="G67" s="323"/>
      <c r="H67" s="323" t="s">
        <v>803</v>
      </c>
      <c r="I67" s="323" t="s">
        <v>449</v>
      </c>
      <c r="J67" s="324">
        <v>0.8</v>
      </c>
      <c r="K67" s="323" t="s">
        <v>794</v>
      </c>
      <c r="L67" s="323"/>
      <c r="M67" s="323">
        <v>8</v>
      </c>
      <c r="N67" s="323" t="s">
        <v>844</v>
      </c>
    </row>
    <row r="68" spans="1:14" ht="30">
      <c r="A68" s="323" t="s">
        <v>1026</v>
      </c>
      <c r="B68" s="323" t="s">
        <v>1027</v>
      </c>
      <c r="C68" s="323" t="s">
        <v>1028</v>
      </c>
      <c r="D68" s="323" t="s">
        <v>29</v>
      </c>
      <c r="E68" s="323">
        <v>1</v>
      </c>
      <c r="F68" s="323">
        <v>1</v>
      </c>
      <c r="G68" s="323"/>
      <c r="H68" s="323" t="s">
        <v>803</v>
      </c>
      <c r="I68" s="323" t="s">
        <v>110</v>
      </c>
      <c r="J68" s="324">
        <v>1</v>
      </c>
      <c r="K68" s="323" t="s">
        <v>794</v>
      </c>
      <c r="L68" s="323"/>
      <c r="M68" s="323">
        <v>9</v>
      </c>
      <c r="N68" s="323" t="s">
        <v>844</v>
      </c>
    </row>
    <row r="69" spans="1:14" ht="30">
      <c r="A69" s="323" t="s">
        <v>1029</v>
      </c>
      <c r="B69" s="323" t="s">
        <v>1030</v>
      </c>
      <c r="C69" s="323" t="s">
        <v>1031</v>
      </c>
      <c r="D69" s="323" t="s">
        <v>29</v>
      </c>
      <c r="E69" s="323">
        <v>1</v>
      </c>
      <c r="F69" s="323">
        <v>1</v>
      </c>
      <c r="G69" s="323"/>
      <c r="H69" s="323" t="s">
        <v>803</v>
      </c>
      <c r="I69" s="323" t="s">
        <v>646</v>
      </c>
      <c r="J69" s="324">
        <v>1</v>
      </c>
      <c r="K69" s="323" t="s">
        <v>794</v>
      </c>
      <c r="L69" s="323"/>
      <c r="M69" s="323">
        <v>10</v>
      </c>
      <c r="N69" s="323" t="s">
        <v>844</v>
      </c>
    </row>
    <row r="70" spans="1:14" ht="30">
      <c r="A70" s="323" t="s">
        <v>1032</v>
      </c>
      <c r="B70" s="323" t="s">
        <v>1033</v>
      </c>
      <c r="C70" s="323" t="s">
        <v>1034</v>
      </c>
      <c r="D70" s="323" t="s">
        <v>498</v>
      </c>
      <c r="E70" s="323">
        <v>1</v>
      </c>
      <c r="F70" s="323">
        <v>1</v>
      </c>
      <c r="G70" s="323"/>
      <c r="H70" s="323" t="s">
        <v>803</v>
      </c>
      <c r="I70" s="323" t="s">
        <v>68</v>
      </c>
      <c r="J70" s="324">
        <v>1</v>
      </c>
      <c r="K70" s="323" t="s">
        <v>794</v>
      </c>
      <c r="L70" s="323"/>
      <c r="M70" s="323">
        <v>4</v>
      </c>
      <c r="N70" s="323" t="s">
        <v>844</v>
      </c>
    </row>
    <row r="71" spans="1:14" ht="30">
      <c r="A71" s="323" t="s">
        <v>1035</v>
      </c>
      <c r="B71" s="323" t="s">
        <v>1036</v>
      </c>
      <c r="C71" s="323" t="s">
        <v>1037</v>
      </c>
      <c r="D71" s="323" t="s">
        <v>498</v>
      </c>
      <c r="E71" s="323">
        <v>1</v>
      </c>
      <c r="F71" s="323">
        <v>1</v>
      </c>
      <c r="G71" s="323"/>
      <c r="H71" s="323" t="s">
        <v>803</v>
      </c>
      <c r="I71" s="323" t="s">
        <v>509</v>
      </c>
      <c r="J71" s="324">
        <v>1</v>
      </c>
      <c r="K71" s="323" t="s">
        <v>794</v>
      </c>
      <c r="L71" s="323"/>
      <c r="M71" s="323">
        <v>5</v>
      </c>
      <c r="N71" s="323" t="s">
        <v>844</v>
      </c>
    </row>
    <row r="72" spans="1:14" ht="30">
      <c r="A72" s="323" t="s">
        <v>1038</v>
      </c>
      <c r="B72" s="323" t="s">
        <v>1039</v>
      </c>
      <c r="C72" s="323" t="s">
        <v>1040</v>
      </c>
      <c r="D72" s="323" t="s">
        <v>498</v>
      </c>
      <c r="E72" s="323">
        <v>1</v>
      </c>
      <c r="F72" s="323">
        <v>1</v>
      </c>
      <c r="G72" s="323"/>
      <c r="H72" s="323" t="s">
        <v>803</v>
      </c>
      <c r="I72" s="323" t="s">
        <v>68</v>
      </c>
      <c r="J72" s="324">
        <v>1</v>
      </c>
      <c r="K72" s="323" t="s">
        <v>794</v>
      </c>
      <c r="L72" s="323"/>
      <c r="M72" s="323">
        <v>6</v>
      </c>
      <c r="N72" s="323" t="s">
        <v>844</v>
      </c>
    </row>
    <row r="73" spans="1:14" ht="30">
      <c r="A73" s="323" t="s">
        <v>1041</v>
      </c>
      <c r="B73" s="323"/>
      <c r="C73" s="323" t="s">
        <v>1042</v>
      </c>
      <c r="D73" s="323" t="s">
        <v>498</v>
      </c>
      <c r="E73" s="323"/>
      <c r="F73" s="323"/>
      <c r="G73" s="323"/>
      <c r="H73" s="323" t="s">
        <v>803</v>
      </c>
      <c r="I73" s="323" t="s">
        <v>336</v>
      </c>
      <c r="J73" s="324">
        <v>0.5</v>
      </c>
      <c r="K73" s="323" t="s">
        <v>794</v>
      </c>
      <c r="L73" s="323"/>
      <c r="M73" s="323">
        <v>7</v>
      </c>
      <c r="N73" s="323" t="s">
        <v>844</v>
      </c>
    </row>
    <row r="74" spans="1:14">
      <c r="A74" s="323" t="s">
        <v>1043</v>
      </c>
      <c r="B74" s="323" t="s">
        <v>1044</v>
      </c>
      <c r="C74" s="323" t="s">
        <v>1045</v>
      </c>
      <c r="D74" s="323" t="s">
        <v>498</v>
      </c>
      <c r="E74" s="323">
        <v>1</v>
      </c>
      <c r="F74" s="323">
        <v>1</v>
      </c>
      <c r="G74" s="323"/>
      <c r="H74" s="323" t="s">
        <v>796</v>
      </c>
      <c r="I74" s="323"/>
      <c r="J74" s="324"/>
      <c r="K74" s="323" t="s">
        <v>795</v>
      </c>
      <c r="L74" s="323" t="s">
        <v>1046</v>
      </c>
      <c r="M74" s="323">
        <v>8</v>
      </c>
      <c r="N74" s="323" t="s">
        <v>862</v>
      </c>
    </row>
    <row r="75" spans="1:14">
      <c r="A75" s="323" t="s">
        <v>1047</v>
      </c>
      <c r="B75" s="323" t="s">
        <v>1048</v>
      </c>
      <c r="C75" s="323" t="s">
        <v>512</v>
      </c>
      <c r="D75" s="323" t="s">
        <v>498</v>
      </c>
      <c r="E75" s="323">
        <v>1</v>
      </c>
      <c r="F75" s="323">
        <v>1</v>
      </c>
      <c r="G75" s="323"/>
      <c r="H75" s="323" t="s">
        <v>796</v>
      </c>
      <c r="I75" s="323"/>
      <c r="J75" s="324"/>
      <c r="K75" s="323" t="s">
        <v>795</v>
      </c>
      <c r="L75" s="323" t="s">
        <v>1049</v>
      </c>
      <c r="M75" s="323">
        <v>9</v>
      </c>
      <c r="N75" s="323" t="s">
        <v>862</v>
      </c>
    </row>
    <row r="76" spans="1:14" ht="30">
      <c r="A76" s="323" t="s">
        <v>1050</v>
      </c>
      <c r="B76" s="323" t="s">
        <v>1051</v>
      </c>
      <c r="C76" s="323" t="s">
        <v>1052</v>
      </c>
      <c r="D76" s="323" t="s">
        <v>21</v>
      </c>
      <c r="E76" s="323">
        <v>1</v>
      </c>
      <c r="F76" s="323">
        <v>1</v>
      </c>
      <c r="G76" s="323"/>
      <c r="H76" s="323" t="s">
        <v>803</v>
      </c>
      <c r="I76" s="323" t="s">
        <v>548</v>
      </c>
      <c r="J76" s="324">
        <v>0.56521739130434789</v>
      </c>
      <c r="K76" s="323" t="s">
        <v>794</v>
      </c>
      <c r="L76" s="323"/>
      <c r="M76" s="323">
        <v>4</v>
      </c>
      <c r="N76" s="323" t="s">
        <v>844</v>
      </c>
    </row>
    <row r="77" spans="1:14" ht="30">
      <c r="A77" s="323" t="s">
        <v>1053</v>
      </c>
      <c r="B77" s="323" t="s">
        <v>1054</v>
      </c>
      <c r="C77" s="323" t="s">
        <v>1055</v>
      </c>
      <c r="D77" s="323" t="s">
        <v>21</v>
      </c>
      <c r="E77" s="323">
        <v>1</v>
      </c>
      <c r="F77" s="323">
        <v>1</v>
      </c>
      <c r="G77" s="323"/>
      <c r="H77" s="323" t="s">
        <v>803</v>
      </c>
      <c r="I77" s="323" t="s">
        <v>552</v>
      </c>
      <c r="J77" s="324">
        <v>1</v>
      </c>
      <c r="K77" s="323" t="s">
        <v>794</v>
      </c>
      <c r="L77" s="323"/>
      <c r="M77" s="323">
        <v>6</v>
      </c>
      <c r="N77" s="323" t="s">
        <v>844</v>
      </c>
    </row>
    <row r="78" spans="1:14" ht="30">
      <c r="A78" s="323" t="s">
        <v>1056</v>
      </c>
      <c r="B78" s="323"/>
      <c r="C78" s="323" t="s">
        <v>1057</v>
      </c>
      <c r="D78" s="323" t="s">
        <v>21</v>
      </c>
      <c r="E78" s="323"/>
      <c r="F78" s="323"/>
      <c r="G78" s="323"/>
      <c r="H78" s="323" t="s">
        <v>803</v>
      </c>
      <c r="I78" s="323" t="s">
        <v>558</v>
      </c>
      <c r="J78" s="324">
        <v>0.9285714285714286</v>
      </c>
      <c r="K78" s="323" t="s">
        <v>794</v>
      </c>
      <c r="L78" s="323"/>
      <c r="M78" s="323">
        <v>7</v>
      </c>
      <c r="N78" s="323" t="s">
        <v>844</v>
      </c>
    </row>
    <row r="79" spans="1:14">
      <c r="A79" s="323" t="s">
        <v>1058</v>
      </c>
      <c r="B79" s="323" t="s">
        <v>1059</v>
      </c>
      <c r="C79" s="323" t="s">
        <v>569</v>
      </c>
      <c r="D79" s="323" t="s">
        <v>21</v>
      </c>
      <c r="E79" s="323">
        <v>1</v>
      </c>
      <c r="F79" s="323">
        <v>1</v>
      </c>
      <c r="G79" s="323"/>
      <c r="H79" s="323" t="s">
        <v>796</v>
      </c>
      <c r="I79" s="323"/>
      <c r="J79" s="324"/>
      <c r="K79" s="323" t="s">
        <v>795</v>
      </c>
      <c r="L79" s="323" t="s">
        <v>1060</v>
      </c>
      <c r="M79" s="323">
        <v>8</v>
      </c>
      <c r="N79" s="323" t="s">
        <v>862</v>
      </c>
    </row>
    <row r="80" spans="1:14">
      <c r="A80" s="323" t="s">
        <v>1061</v>
      </c>
      <c r="B80" s="323" t="s">
        <v>1062</v>
      </c>
      <c r="C80" s="323" t="s">
        <v>84</v>
      </c>
      <c r="D80" s="323" t="s">
        <v>21</v>
      </c>
      <c r="E80" s="323">
        <v>1</v>
      </c>
      <c r="F80" s="323">
        <v>1</v>
      </c>
      <c r="G80" s="323"/>
      <c r="H80" s="323" t="s">
        <v>796</v>
      </c>
      <c r="I80" s="323"/>
      <c r="J80" s="324"/>
      <c r="K80" s="323" t="s">
        <v>795</v>
      </c>
      <c r="L80" s="323" t="s">
        <v>1063</v>
      </c>
      <c r="M80" s="323">
        <v>9</v>
      </c>
      <c r="N80" s="323" t="s">
        <v>862</v>
      </c>
    </row>
    <row r="81" spans="1:14" ht="30">
      <c r="A81" s="323" t="s">
        <v>1064</v>
      </c>
      <c r="B81" s="323" t="s">
        <v>1065</v>
      </c>
      <c r="C81" s="323" t="s">
        <v>1066</v>
      </c>
      <c r="D81" s="323" t="s">
        <v>21</v>
      </c>
      <c r="E81" s="323">
        <v>1</v>
      </c>
      <c r="F81" s="323">
        <v>1</v>
      </c>
      <c r="G81" s="323"/>
      <c r="H81" s="323" t="s">
        <v>803</v>
      </c>
      <c r="I81" s="323" t="s">
        <v>577</v>
      </c>
      <c r="J81" s="324">
        <v>1</v>
      </c>
      <c r="K81" s="323" t="s">
        <v>794</v>
      </c>
      <c r="L81" s="323"/>
      <c r="M81" s="323">
        <v>10</v>
      </c>
      <c r="N81" s="323" t="s">
        <v>844</v>
      </c>
    </row>
    <row r="82" spans="1:14">
      <c r="A82" s="323" t="s">
        <v>1067</v>
      </c>
      <c r="B82" s="323" t="s">
        <v>1068</v>
      </c>
      <c r="C82" s="323" t="s">
        <v>1069</v>
      </c>
      <c r="D82" s="323" t="s">
        <v>21</v>
      </c>
      <c r="E82" s="323">
        <v>1</v>
      </c>
      <c r="F82" s="323">
        <v>1</v>
      </c>
      <c r="G82" s="323"/>
      <c r="H82" s="323" t="s">
        <v>796</v>
      </c>
      <c r="I82" s="323"/>
      <c r="J82" s="324"/>
      <c r="K82" s="323" t="s">
        <v>795</v>
      </c>
      <c r="L82" s="323" t="s">
        <v>1070</v>
      </c>
      <c r="M82" s="323">
        <v>11</v>
      </c>
      <c r="N82" s="323" t="s">
        <v>862</v>
      </c>
    </row>
    <row r="83" spans="1:14" ht="30">
      <c r="A83" s="323" t="s">
        <v>1071</v>
      </c>
      <c r="B83" s="323" t="s">
        <v>1072</v>
      </c>
      <c r="C83" s="323" t="s">
        <v>1073</v>
      </c>
      <c r="D83" s="323" t="s">
        <v>21</v>
      </c>
      <c r="E83" s="323">
        <v>0</v>
      </c>
      <c r="F83" s="323">
        <v>0</v>
      </c>
      <c r="G83" s="323"/>
      <c r="H83" s="323" t="s">
        <v>803</v>
      </c>
      <c r="I83" s="323" t="s">
        <v>548</v>
      </c>
      <c r="J83" s="324">
        <v>1</v>
      </c>
      <c r="K83" s="323" t="s">
        <v>794</v>
      </c>
      <c r="L83" s="323"/>
      <c r="M83" s="323">
        <v>12</v>
      </c>
      <c r="N83" s="323" t="s">
        <v>844</v>
      </c>
    </row>
    <row r="84" spans="1:14" ht="30">
      <c r="A84" s="323" t="s">
        <v>1074</v>
      </c>
      <c r="B84" s="323" t="s">
        <v>1075</v>
      </c>
      <c r="C84" s="323" t="s">
        <v>1076</v>
      </c>
      <c r="D84" s="323" t="s">
        <v>18</v>
      </c>
      <c r="E84" s="323">
        <v>1</v>
      </c>
      <c r="F84" s="323">
        <v>1</v>
      </c>
      <c r="G84" s="323"/>
      <c r="H84" s="323" t="s">
        <v>803</v>
      </c>
      <c r="I84" s="323" t="s">
        <v>530</v>
      </c>
      <c r="J84" s="324">
        <v>1</v>
      </c>
      <c r="K84" s="323" t="s">
        <v>794</v>
      </c>
      <c r="L84" s="323"/>
      <c r="M84" s="323">
        <v>4</v>
      </c>
      <c r="N84" s="323" t="s">
        <v>844</v>
      </c>
    </row>
    <row r="85" spans="1:14">
      <c r="A85" s="323" t="s">
        <v>1077</v>
      </c>
      <c r="B85" s="323" t="s">
        <v>1078</v>
      </c>
      <c r="C85" s="323" t="s">
        <v>1079</v>
      </c>
      <c r="D85" s="323" t="s">
        <v>18</v>
      </c>
      <c r="E85" s="323">
        <v>1</v>
      </c>
      <c r="F85" s="323">
        <v>1</v>
      </c>
      <c r="G85" s="323"/>
      <c r="H85" s="323" t="s">
        <v>796</v>
      </c>
      <c r="I85" s="323"/>
      <c r="J85" s="324"/>
      <c r="K85" s="323" t="s">
        <v>795</v>
      </c>
      <c r="L85" s="323" t="s">
        <v>1080</v>
      </c>
      <c r="M85" s="323">
        <v>5</v>
      </c>
      <c r="N85" s="323" t="s">
        <v>862</v>
      </c>
    </row>
    <row r="86" spans="1:14" ht="30">
      <c r="A86" s="323" t="s">
        <v>1081</v>
      </c>
      <c r="B86" s="323" t="s">
        <v>1082</v>
      </c>
      <c r="C86" s="323" t="s">
        <v>1083</v>
      </c>
      <c r="D86" s="323" t="s">
        <v>18</v>
      </c>
      <c r="E86" s="323">
        <v>1</v>
      </c>
      <c r="F86" s="323">
        <v>1</v>
      </c>
      <c r="G86" s="323"/>
      <c r="H86" s="323" t="s">
        <v>803</v>
      </c>
      <c r="I86" s="323" t="s">
        <v>522</v>
      </c>
      <c r="J86" s="324">
        <v>0.5625</v>
      </c>
      <c r="K86" s="323" t="s">
        <v>794</v>
      </c>
      <c r="L86" s="323"/>
      <c r="M86" s="323">
        <v>6</v>
      </c>
      <c r="N86" s="323" t="s">
        <v>844</v>
      </c>
    </row>
    <row r="87" spans="1:14" ht="30">
      <c r="A87" s="323" t="s">
        <v>1084</v>
      </c>
      <c r="B87" s="323" t="s">
        <v>1085</v>
      </c>
      <c r="C87" s="323" t="s">
        <v>1086</v>
      </c>
      <c r="D87" s="323" t="s">
        <v>18</v>
      </c>
      <c r="E87" s="323">
        <v>1</v>
      </c>
      <c r="F87" s="323">
        <v>1</v>
      </c>
      <c r="G87" s="323"/>
      <c r="H87" s="323" t="s">
        <v>803</v>
      </c>
      <c r="I87" s="323" t="s">
        <v>526</v>
      </c>
      <c r="J87" s="324">
        <v>1</v>
      </c>
      <c r="K87" s="323" t="s">
        <v>794</v>
      </c>
      <c r="L87" s="323"/>
      <c r="M87" s="323">
        <v>7</v>
      </c>
      <c r="N87" s="323" t="s">
        <v>844</v>
      </c>
    </row>
    <row r="88" spans="1:14" ht="30">
      <c r="A88" s="323" t="s">
        <v>1087</v>
      </c>
      <c r="B88" s="323" t="s">
        <v>1088</v>
      </c>
      <c r="C88" s="323" t="s">
        <v>1089</v>
      </c>
      <c r="D88" s="323" t="s">
        <v>18</v>
      </c>
      <c r="E88" s="323">
        <v>1</v>
      </c>
      <c r="F88" s="323">
        <v>1</v>
      </c>
      <c r="G88" s="323"/>
      <c r="H88" s="323" t="s">
        <v>803</v>
      </c>
      <c r="I88" s="323" t="s">
        <v>533</v>
      </c>
      <c r="J88" s="324">
        <v>0.75</v>
      </c>
      <c r="K88" s="323" t="s">
        <v>794</v>
      </c>
      <c r="L88" s="323"/>
      <c r="M88" s="323">
        <v>8</v>
      </c>
      <c r="N88" s="323" t="s">
        <v>844</v>
      </c>
    </row>
    <row r="89" spans="1:14" ht="30">
      <c r="A89" s="323" t="s">
        <v>1090</v>
      </c>
      <c r="B89" s="323" t="s">
        <v>1091</v>
      </c>
      <c r="C89" s="323" t="s">
        <v>1092</v>
      </c>
      <c r="D89" s="323" t="s">
        <v>18</v>
      </c>
      <c r="E89" s="323">
        <v>1</v>
      </c>
      <c r="F89" s="323">
        <v>1</v>
      </c>
      <c r="G89" s="323"/>
      <c r="H89" s="323" t="s">
        <v>803</v>
      </c>
      <c r="I89" s="323" t="s">
        <v>50</v>
      </c>
      <c r="J89" s="324">
        <v>1</v>
      </c>
      <c r="K89" s="323" t="s">
        <v>794</v>
      </c>
      <c r="L89" s="323"/>
      <c r="M89" s="323">
        <v>10</v>
      </c>
      <c r="N89" s="323" t="s">
        <v>844</v>
      </c>
    </row>
    <row r="90" spans="1:14">
      <c r="A90" s="323" t="s">
        <v>1093</v>
      </c>
      <c r="B90" s="323" t="s">
        <v>1094</v>
      </c>
      <c r="C90" s="323" t="s">
        <v>87</v>
      </c>
      <c r="D90" s="323" t="s">
        <v>25</v>
      </c>
      <c r="E90" s="323">
        <v>1</v>
      </c>
      <c r="F90" s="323">
        <v>1</v>
      </c>
      <c r="G90" s="323"/>
      <c r="H90" s="323" t="s">
        <v>796</v>
      </c>
      <c r="I90" s="323"/>
      <c r="J90" s="324"/>
      <c r="K90" s="323" t="s">
        <v>795</v>
      </c>
      <c r="L90" s="323" t="s">
        <v>1095</v>
      </c>
      <c r="M90" s="323">
        <v>4</v>
      </c>
      <c r="N90" s="323" t="s">
        <v>862</v>
      </c>
    </row>
    <row r="91" spans="1:14" ht="30">
      <c r="A91" s="323" t="s">
        <v>1096</v>
      </c>
      <c r="B91" s="323" t="s">
        <v>1097</v>
      </c>
      <c r="C91" s="323" t="s">
        <v>1098</v>
      </c>
      <c r="D91" s="323" t="s">
        <v>25</v>
      </c>
      <c r="E91" s="323">
        <v>1</v>
      </c>
      <c r="F91" s="323">
        <v>1</v>
      </c>
      <c r="G91" s="323"/>
      <c r="H91" s="323" t="s">
        <v>803</v>
      </c>
      <c r="I91" s="323" t="s">
        <v>626</v>
      </c>
      <c r="J91" s="324">
        <v>1</v>
      </c>
      <c r="K91" s="323" t="s">
        <v>794</v>
      </c>
      <c r="L91" s="323"/>
      <c r="M91" s="323">
        <v>5</v>
      </c>
      <c r="N91" s="323" t="s">
        <v>844</v>
      </c>
    </row>
    <row r="92" spans="1:14" ht="30">
      <c r="A92" s="323" t="s">
        <v>1099</v>
      </c>
      <c r="B92" s="323" t="s">
        <v>1100</v>
      </c>
      <c r="C92" s="323" t="s">
        <v>1101</v>
      </c>
      <c r="D92" s="323" t="s">
        <v>25</v>
      </c>
      <c r="E92" s="323">
        <v>1</v>
      </c>
      <c r="F92" s="323">
        <v>1</v>
      </c>
      <c r="G92" s="323"/>
      <c r="H92" s="323" t="s">
        <v>803</v>
      </c>
      <c r="I92" s="323" t="s">
        <v>585</v>
      </c>
      <c r="J92" s="324">
        <v>0.92307692307692313</v>
      </c>
      <c r="K92" s="323" t="s">
        <v>794</v>
      </c>
      <c r="L92" s="323"/>
      <c r="M92" s="323">
        <v>6</v>
      </c>
      <c r="N92" s="323" t="s">
        <v>844</v>
      </c>
    </row>
    <row r="93" spans="1:14">
      <c r="A93" s="323" t="s">
        <v>1102</v>
      </c>
      <c r="B93" s="323" t="s">
        <v>1103</v>
      </c>
      <c r="C93" s="323" t="s">
        <v>590</v>
      </c>
      <c r="D93" s="323" t="s">
        <v>25</v>
      </c>
      <c r="E93" s="323">
        <v>1</v>
      </c>
      <c r="F93" s="323">
        <v>1</v>
      </c>
      <c r="G93" s="323"/>
      <c r="H93" s="323" t="s">
        <v>796</v>
      </c>
      <c r="I93" s="323"/>
      <c r="J93" s="324"/>
      <c r="K93" s="323" t="s">
        <v>795</v>
      </c>
      <c r="L93" s="323" t="s">
        <v>1104</v>
      </c>
      <c r="M93" s="323">
        <v>7</v>
      </c>
      <c r="N93" s="323" t="s">
        <v>862</v>
      </c>
    </row>
    <row r="94" spans="1:14" ht="30">
      <c r="A94" s="323" t="s">
        <v>1105</v>
      </c>
      <c r="B94" s="323" t="s">
        <v>1106</v>
      </c>
      <c r="C94" s="323" t="s">
        <v>1107</v>
      </c>
      <c r="D94" s="323" t="s">
        <v>25</v>
      </c>
      <c r="E94" s="323">
        <v>1</v>
      </c>
      <c r="F94" s="323">
        <v>1</v>
      </c>
      <c r="G94" s="323"/>
      <c r="H94" s="323" t="s">
        <v>803</v>
      </c>
      <c r="I94" s="323" t="s">
        <v>595</v>
      </c>
      <c r="J94" s="324">
        <v>1</v>
      </c>
      <c r="K94" s="323" t="s">
        <v>794</v>
      </c>
      <c r="L94" s="323"/>
      <c r="M94" s="323">
        <v>8</v>
      </c>
      <c r="N94" s="323" t="s">
        <v>844</v>
      </c>
    </row>
    <row r="95" spans="1:14" ht="30">
      <c r="A95" s="323" t="s">
        <v>1108</v>
      </c>
      <c r="B95" s="323" t="s">
        <v>1109</v>
      </c>
      <c r="C95" s="323" t="s">
        <v>1110</v>
      </c>
      <c r="D95" s="323" t="s">
        <v>25</v>
      </c>
      <c r="E95" s="323">
        <v>1</v>
      </c>
      <c r="F95" s="323">
        <v>1</v>
      </c>
      <c r="G95" s="323"/>
      <c r="H95" s="323" t="s">
        <v>803</v>
      </c>
      <c r="I95" s="323" t="s">
        <v>88</v>
      </c>
      <c r="J95" s="324">
        <v>1</v>
      </c>
      <c r="K95" s="323" t="s">
        <v>794</v>
      </c>
      <c r="L95" s="323"/>
      <c r="M95" s="323">
        <v>9</v>
      </c>
      <c r="N95" s="323" t="s">
        <v>844</v>
      </c>
    </row>
    <row r="96" spans="1:14" ht="30">
      <c r="A96" s="323" t="s">
        <v>1111</v>
      </c>
      <c r="B96" s="323"/>
      <c r="C96" s="323" t="s">
        <v>1112</v>
      </c>
      <c r="D96" s="323" t="s">
        <v>25</v>
      </c>
      <c r="E96" s="323">
        <v>0</v>
      </c>
      <c r="F96" s="323">
        <v>0</v>
      </c>
      <c r="G96" s="323"/>
      <c r="H96" s="323" t="s">
        <v>803</v>
      </c>
      <c r="I96" s="323" t="s">
        <v>1113</v>
      </c>
      <c r="J96" s="324">
        <v>0.66666666666666674</v>
      </c>
      <c r="K96" s="323" t="s">
        <v>794</v>
      </c>
      <c r="L96" s="323"/>
      <c r="M96" s="323">
        <v>10</v>
      </c>
      <c r="N96" s="323" t="s">
        <v>844</v>
      </c>
    </row>
    <row r="97" spans="1:14">
      <c r="A97" s="323" t="s">
        <v>1114</v>
      </c>
      <c r="B97" s="323" t="s">
        <v>1115</v>
      </c>
      <c r="C97" s="323" t="s">
        <v>606</v>
      </c>
      <c r="D97" s="323" t="s">
        <v>25</v>
      </c>
      <c r="E97" s="323">
        <v>1</v>
      </c>
      <c r="F97" s="323">
        <v>1</v>
      </c>
      <c r="G97" s="323"/>
      <c r="H97" s="323" t="s">
        <v>796</v>
      </c>
      <c r="I97" s="323"/>
      <c r="J97" s="324"/>
      <c r="K97" s="323" t="s">
        <v>795</v>
      </c>
      <c r="L97" s="323" t="s">
        <v>1116</v>
      </c>
      <c r="M97" s="323">
        <v>11</v>
      </c>
      <c r="N97" s="323" t="s">
        <v>862</v>
      </c>
    </row>
    <row r="98" spans="1:14" ht="30">
      <c r="A98" s="323" t="s">
        <v>1117</v>
      </c>
      <c r="B98" s="323" t="s">
        <v>1118</v>
      </c>
      <c r="C98" s="323" t="s">
        <v>1119</v>
      </c>
      <c r="D98" s="323" t="s">
        <v>25</v>
      </c>
      <c r="E98" s="323">
        <v>1</v>
      </c>
      <c r="F98" s="323">
        <v>1</v>
      </c>
      <c r="G98" s="323"/>
      <c r="H98" s="323" t="s">
        <v>803</v>
      </c>
      <c r="I98" s="323" t="s">
        <v>614</v>
      </c>
      <c r="J98" s="324">
        <v>1</v>
      </c>
      <c r="K98" s="323" t="s">
        <v>794</v>
      </c>
      <c r="L98" s="323"/>
      <c r="M98" s="323">
        <v>12</v>
      </c>
      <c r="N98" s="323" t="s">
        <v>844</v>
      </c>
    </row>
    <row r="99" spans="1:14">
      <c r="A99" s="323" t="s">
        <v>1120</v>
      </c>
      <c r="B99" s="323" t="s">
        <v>1121</v>
      </c>
      <c r="C99" s="323" t="s">
        <v>94</v>
      </c>
      <c r="D99" s="323" t="s">
        <v>25</v>
      </c>
      <c r="E99" s="323">
        <v>1</v>
      </c>
      <c r="F99" s="323">
        <v>1</v>
      </c>
      <c r="G99" s="323"/>
      <c r="H99" s="323" t="s">
        <v>796</v>
      </c>
      <c r="I99" s="323"/>
      <c r="J99" s="324"/>
      <c r="K99" s="323" t="s">
        <v>795</v>
      </c>
      <c r="L99" s="323" t="s">
        <v>1122</v>
      </c>
      <c r="M99" s="323">
        <v>13</v>
      </c>
      <c r="N99" s="323" t="s">
        <v>862</v>
      </c>
    </row>
    <row r="100" spans="1:14" ht="30">
      <c r="A100" s="323" t="s">
        <v>1123</v>
      </c>
      <c r="B100" s="323" t="s">
        <v>1124</v>
      </c>
      <c r="C100" s="323" t="s">
        <v>1125</v>
      </c>
      <c r="D100" s="323" t="s">
        <v>25</v>
      </c>
      <c r="E100" s="323">
        <v>1</v>
      </c>
      <c r="F100" s="323">
        <v>0</v>
      </c>
      <c r="G100" s="323"/>
      <c r="H100" s="323" t="s">
        <v>803</v>
      </c>
      <c r="I100" s="323" t="s">
        <v>65</v>
      </c>
      <c r="J100" s="324">
        <v>0.66666666666666674</v>
      </c>
      <c r="K100" s="323" t="s">
        <v>794</v>
      </c>
      <c r="L100" s="323"/>
      <c r="M100" s="323">
        <v>14</v>
      </c>
      <c r="N100" s="323" t="s">
        <v>844</v>
      </c>
    </row>
    <row r="101" spans="1:14" ht="30">
      <c r="A101" s="323" t="s">
        <v>1126</v>
      </c>
      <c r="B101" s="323" t="s">
        <v>1127</v>
      </c>
      <c r="C101" s="323" t="s">
        <v>1128</v>
      </c>
      <c r="D101" s="323" t="s">
        <v>25</v>
      </c>
      <c r="E101" s="323">
        <v>1</v>
      </c>
      <c r="F101" s="323">
        <v>1</v>
      </c>
      <c r="G101" s="323"/>
      <c r="H101" s="323" t="s">
        <v>803</v>
      </c>
      <c r="I101" s="323" t="s">
        <v>90</v>
      </c>
      <c r="J101" s="324">
        <v>1</v>
      </c>
      <c r="K101" s="323" t="s">
        <v>794</v>
      </c>
      <c r="L101" s="323"/>
      <c r="M101" s="323">
        <v>15</v>
      </c>
      <c r="N101" s="323" t="s">
        <v>844</v>
      </c>
    </row>
    <row r="102" spans="1:14">
      <c r="A102" s="323" t="s">
        <v>1129</v>
      </c>
      <c r="B102" s="323" t="s">
        <v>1130</v>
      </c>
      <c r="C102" s="323" t="s">
        <v>90</v>
      </c>
      <c r="D102" s="323" t="s">
        <v>25</v>
      </c>
      <c r="E102" s="323">
        <v>1</v>
      </c>
      <c r="F102" s="323">
        <v>1</v>
      </c>
      <c r="G102" s="323"/>
      <c r="H102" s="323" t="s">
        <v>796</v>
      </c>
      <c r="I102" s="323"/>
      <c r="J102" s="324"/>
      <c r="K102" s="323" t="s">
        <v>795</v>
      </c>
      <c r="L102" s="323" t="s">
        <v>1131</v>
      </c>
      <c r="M102" s="323">
        <v>16</v>
      </c>
      <c r="N102" s="323" t="s">
        <v>862</v>
      </c>
    </row>
    <row r="103" spans="1:14" ht="30">
      <c r="A103" s="323" t="s">
        <v>1132</v>
      </c>
      <c r="B103" s="323" t="s">
        <v>1133</v>
      </c>
      <c r="C103" s="323" t="s">
        <v>1134</v>
      </c>
      <c r="D103" s="323" t="s">
        <v>25</v>
      </c>
      <c r="E103" s="323">
        <v>1</v>
      </c>
      <c r="F103" s="323">
        <v>1</v>
      </c>
      <c r="G103" s="323"/>
      <c r="H103" s="323" t="s">
        <v>803</v>
      </c>
      <c r="I103" s="323" t="s">
        <v>1113</v>
      </c>
      <c r="J103" s="324">
        <v>0.95652173913043481</v>
      </c>
      <c r="K103" s="323" t="s">
        <v>794</v>
      </c>
      <c r="L103" s="323"/>
      <c r="M103" s="323">
        <v>17</v>
      </c>
      <c r="N103" s="323" t="s">
        <v>844</v>
      </c>
    </row>
  </sheetData>
  <mergeCells count="2">
    <mergeCell ref="A1:N1"/>
    <mergeCell ref="A2:N2"/>
  </mergeCells>
  <dataValidations count="2">
    <dataValidation type="list" sqref="H5:H103" xr:uid="{00000000-0002-0000-0500-000000000000}">
      <formula1>"COINCIDENCIA_EXACTA,PENDIENTE_CONCILIACION,ALIAS_VALIDADO"</formula1>
    </dataValidation>
    <dataValidation type="list" sqref="N5:N103" xr:uid="{00000000-0002-0000-0500-000001000000}">
      <formula1>"PENDIENTE,CONFIRMAR_MISMO_PUNTO,NO_ES_EL_MISMO,NO_REQUERIDA"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7"/>
  <sheetViews>
    <sheetView showGridLines="0" workbookViewId="0"/>
  </sheetViews>
  <sheetFormatPr baseColWidth="10" defaultColWidth="9.140625" defaultRowHeight="15"/>
  <cols>
    <col min="1" max="2" width="14" customWidth="1"/>
    <col min="3" max="3" width="12" customWidth="1"/>
    <col min="4" max="5" width="27" customWidth="1"/>
    <col min="6" max="6" width="12" customWidth="1"/>
    <col min="7" max="7" width="24" customWidth="1"/>
    <col min="8" max="8" width="16" customWidth="1"/>
    <col min="9" max="9" width="12" customWidth="1"/>
    <col min="10" max="10" width="27" customWidth="1"/>
    <col min="11" max="11" width="18" customWidth="1"/>
    <col min="12" max="12" width="23" customWidth="1"/>
    <col min="13" max="13" width="9" customWidth="1"/>
    <col min="14" max="14" width="18" customWidth="1"/>
    <col min="15" max="15" width="15" customWidth="1"/>
    <col min="16" max="16" width="16" customWidth="1"/>
    <col min="17" max="18" width="15" customWidth="1"/>
    <col min="19" max="19" width="10" customWidth="1"/>
    <col min="20" max="20" width="9" customWidth="1"/>
    <col min="21" max="21" width="22" customWidth="1"/>
    <col min="22" max="22" width="34" customWidth="1"/>
    <col min="23" max="23" width="22" customWidth="1"/>
    <col min="24" max="24" width="20" customWidth="1"/>
    <col min="25" max="25" width="16" customWidth="1"/>
    <col min="26" max="26" width="15" customWidth="1"/>
    <col min="27" max="27" width="20" customWidth="1"/>
    <col min="28" max="28" width="22" customWidth="1"/>
    <col min="29" max="29" width="29" customWidth="1"/>
    <col min="30" max="30" width="11" customWidth="1"/>
  </cols>
  <sheetData>
    <row r="1" spans="1:30" ht="33.950000000000003" customHeight="1">
      <c r="A1" s="428" t="s">
        <v>1135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</row>
    <row r="2" spans="1:30" ht="30" customHeight="1">
      <c r="A2" s="429" t="s">
        <v>1136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</row>
    <row r="4" spans="1:30" ht="32.1" customHeight="1">
      <c r="A4" s="322" t="s">
        <v>1137</v>
      </c>
      <c r="B4" s="322" t="s">
        <v>1138</v>
      </c>
      <c r="C4" s="322" t="s">
        <v>828</v>
      </c>
      <c r="D4" s="322" t="s">
        <v>1139</v>
      </c>
      <c r="E4" s="322" t="s">
        <v>1140</v>
      </c>
      <c r="F4" s="322" t="s">
        <v>830</v>
      </c>
      <c r="G4" s="322" t="s">
        <v>1141</v>
      </c>
      <c r="H4" s="322" t="s">
        <v>1142</v>
      </c>
      <c r="I4" s="322" t="s">
        <v>1143</v>
      </c>
      <c r="J4" s="322" t="s">
        <v>1144</v>
      </c>
      <c r="K4" s="322" t="s">
        <v>1145</v>
      </c>
      <c r="L4" s="322" t="s">
        <v>1146</v>
      </c>
      <c r="M4" s="322" t="s">
        <v>1147</v>
      </c>
      <c r="N4" s="322" t="s">
        <v>1148</v>
      </c>
      <c r="O4" s="322" t="s">
        <v>1149</v>
      </c>
      <c r="P4" s="322" t="s">
        <v>1150</v>
      </c>
      <c r="Q4" s="322" t="s">
        <v>1151</v>
      </c>
      <c r="R4" s="322" t="s">
        <v>1152</v>
      </c>
      <c r="S4" s="322" t="s">
        <v>138</v>
      </c>
      <c r="T4" s="322" t="s">
        <v>1153</v>
      </c>
      <c r="U4" s="322" t="s">
        <v>1154</v>
      </c>
      <c r="V4" s="322" t="s">
        <v>1155</v>
      </c>
      <c r="W4" s="322" t="s">
        <v>1156</v>
      </c>
      <c r="X4" s="322" t="s">
        <v>1157</v>
      </c>
      <c r="Y4" s="322" t="s">
        <v>147</v>
      </c>
      <c r="Z4" s="322" t="s">
        <v>1158</v>
      </c>
      <c r="AA4" s="322" t="s">
        <v>1159</v>
      </c>
      <c r="AB4" s="322" t="s">
        <v>1160</v>
      </c>
      <c r="AC4" s="322" t="s">
        <v>1161</v>
      </c>
      <c r="AD4" s="322" t="s">
        <v>1162</v>
      </c>
    </row>
    <row r="5" spans="1:30" ht="30">
      <c r="A5" s="323" t="s">
        <v>1163</v>
      </c>
      <c r="B5" s="323" t="s">
        <v>1164</v>
      </c>
      <c r="C5" s="323"/>
      <c r="D5" s="323" t="s">
        <v>150</v>
      </c>
      <c r="E5" s="323" t="s">
        <v>1165</v>
      </c>
      <c r="F5" s="323" t="s">
        <v>6</v>
      </c>
      <c r="G5" s="323" t="s">
        <v>817</v>
      </c>
      <c r="H5" s="323" t="s">
        <v>817</v>
      </c>
      <c r="I5" s="323" t="s">
        <v>1166</v>
      </c>
      <c r="J5" s="323" t="s">
        <v>1167</v>
      </c>
      <c r="K5" s="323" t="s">
        <v>1168</v>
      </c>
      <c r="L5" s="323" t="s">
        <v>799</v>
      </c>
      <c r="M5" s="323">
        <v>29</v>
      </c>
      <c r="N5" s="323" t="s">
        <v>1169</v>
      </c>
      <c r="O5" s="323" t="s">
        <v>151</v>
      </c>
      <c r="P5" s="323"/>
      <c r="Q5" s="323"/>
      <c r="R5" s="323"/>
      <c r="S5" s="323"/>
      <c r="T5" s="323"/>
      <c r="U5" s="323"/>
      <c r="V5" s="323" t="s">
        <v>1170</v>
      </c>
      <c r="W5" s="323" t="s">
        <v>1171</v>
      </c>
      <c r="X5" s="323" t="s">
        <v>152</v>
      </c>
      <c r="Y5" s="323"/>
      <c r="Z5" s="323"/>
      <c r="AA5" s="323" t="s">
        <v>153</v>
      </c>
      <c r="AB5" s="323" t="s">
        <v>794</v>
      </c>
      <c r="AC5" s="323" t="s">
        <v>808</v>
      </c>
      <c r="AD5" s="323">
        <v>5</v>
      </c>
    </row>
    <row r="6" spans="1:30" ht="30">
      <c r="A6" s="323" t="s">
        <v>1172</v>
      </c>
      <c r="B6" s="323" t="s">
        <v>1173</v>
      </c>
      <c r="C6" s="323"/>
      <c r="D6" s="323" t="s">
        <v>154</v>
      </c>
      <c r="E6" s="323" t="s">
        <v>1174</v>
      </c>
      <c r="F6" s="323" t="s">
        <v>6</v>
      </c>
      <c r="G6" s="323" t="s">
        <v>817</v>
      </c>
      <c r="H6" s="323" t="s">
        <v>817</v>
      </c>
      <c r="I6" s="323" t="s">
        <v>1166</v>
      </c>
      <c r="J6" s="323" t="s">
        <v>320</v>
      </c>
      <c r="K6" s="323" t="s">
        <v>1168</v>
      </c>
      <c r="L6" s="323" t="s">
        <v>1175</v>
      </c>
      <c r="M6" s="323">
        <v>36</v>
      </c>
      <c r="N6" s="323" t="s">
        <v>1169</v>
      </c>
      <c r="O6" s="323" t="s">
        <v>155</v>
      </c>
      <c r="P6" s="323"/>
      <c r="Q6" s="323"/>
      <c r="R6" s="323"/>
      <c r="S6" s="323"/>
      <c r="T6" s="323"/>
      <c r="U6" s="323"/>
      <c r="V6" s="323" t="s">
        <v>1170</v>
      </c>
      <c r="W6" s="323" t="s">
        <v>1171</v>
      </c>
      <c r="X6" s="323" t="s">
        <v>156</v>
      </c>
      <c r="Y6" s="323"/>
      <c r="Z6" s="323"/>
      <c r="AA6" s="323" t="s">
        <v>157</v>
      </c>
      <c r="AB6" s="323" t="s">
        <v>794</v>
      </c>
      <c r="AC6" s="323" t="s">
        <v>808</v>
      </c>
      <c r="AD6" s="323">
        <v>6</v>
      </c>
    </row>
    <row r="7" spans="1:30" ht="30">
      <c r="A7" s="323" t="s">
        <v>1176</v>
      </c>
      <c r="B7" s="323"/>
      <c r="C7" s="323"/>
      <c r="D7" s="323" t="s">
        <v>158</v>
      </c>
      <c r="E7" s="323"/>
      <c r="F7" s="323" t="s">
        <v>6</v>
      </c>
      <c r="G7" s="323" t="s">
        <v>793</v>
      </c>
      <c r="H7" s="323"/>
      <c r="I7" s="323" t="s">
        <v>1166</v>
      </c>
      <c r="J7" s="323"/>
      <c r="K7" s="323" t="s">
        <v>844</v>
      </c>
      <c r="L7" s="323" t="s">
        <v>1175</v>
      </c>
      <c r="M7" s="323">
        <v>14</v>
      </c>
      <c r="N7" s="323" t="s">
        <v>1169</v>
      </c>
      <c r="O7" s="323" t="s">
        <v>159</v>
      </c>
      <c r="P7" s="323"/>
      <c r="Q7" s="323"/>
      <c r="R7" s="323"/>
      <c r="S7" s="323"/>
      <c r="T7" s="323"/>
      <c r="U7" s="323"/>
      <c r="V7" s="323"/>
      <c r="W7" s="323"/>
      <c r="X7" s="323" t="s">
        <v>160</v>
      </c>
      <c r="Y7" s="323"/>
      <c r="Z7" s="323"/>
      <c r="AA7" s="323"/>
      <c r="AB7" s="323" t="s">
        <v>794</v>
      </c>
      <c r="AC7" s="323" t="s">
        <v>1177</v>
      </c>
      <c r="AD7" s="323">
        <v>7</v>
      </c>
    </row>
    <row r="8" spans="1:30" ht="30">
      <c r="A8" s="323" t="s">
        <v>1178</v>
      </c>
      <c r="B8" s="323" t="s">
        <v>1179</v>
      </c>
      <c r="C8" s="323"/>
      <c r="D8" s="323" t="s">
        <v>161</v>
      </c>
      <c r="E8" s="323" t="s">
        <v>1180</v>
      </c>
      <c r="F8" s="323" t="s">
        <v>6</v>
      </c>
      <c r="G8" s="323" t="s">
        <v>817</v>
      </c>
      <c r="H8" s="323" t="s">
        <v>817</v>
      </c>
      <c r="I8" s="323" t="s">
        <v>1166</v>
      </c>
      <c r="J8" s="323" t="s">
        <v>1181</v>
      </c>
      <c r="K8" s="323" t="s">
        <v>1168</v>
      </c>
      <c r="L8" s="323" t="s">
        <v>1175</v>
      </c>
      <c r="M8" s="323">
        <v>12</v>
      </c>
      <c r="N8" s="323" t="s">
        <v>1169</v>
      </c>
      <c r="O8" s="323" t="s">
        <v>162</v>
      </c>
      <c r="P8" s="323"/>
      <c r="Q8" s="323"/>
      <c r="R8" s="323"/>
      <c r="S8" s="323"/>
      <c r="T8" s="323"/>
      <c r="U8" s="323"/>
      <c r="V8" s="323" t="s">
        <v>1170</v>
      </c>
      <c r="W8" s="323" t="s">
        <v>1171</v>
      </c>
      <c r="X8" s="323" t="s">
        <v>163</v>
      </c>
      <c r="Y8" s="323"/>
      <c r="Z8" s="323"/>
      <c r="AA8" s="323"/>
      <c r="AB8" s="323" t="s">
        <v>794</v>
      </c>
      <c r="AC8" s="323" t="s">
        <v>808</v>
      </c>
      <c r="AD8" s="323">
        <v>8</v>
      </c>
    </row>
    <row r="9" spans="1:30" ht="30">
      <c r="A9" s="323" t="s">
        <v>1182</v>
      </c>
      <c r="B9" s="323" t="s">
        <v>1183</v>
      </c>
      <c r="C9" s="323"/>
      <c r="D9" s="323" t="s">
        <v>164</v>
      </c>
      <c r="E9" s="323" t="s">
        <v>1184</v>
      </c>
      <c r="F9" s="323" t="s">
        <v>6</v>
      </c>
      <c r="G9" s="323" t="s">
        <v>817</v>
      </c>
      <c r="H9" s="323" t="s">
        <v>817</v>
      </c>
      <c r="I9" s="323" t="s">
        <v>1166</v>
      </c>
      <c r="J9" s="323" t="s">
        <v>1185</v>
      </c>
      <c r="K9" s="323" t="s">
        <v>1168</v>
      </c>
      <c r="L9" s="323" t="s">
        <v>799</v>
      </c>
      <c r="M9" s="323">
        <v>3</v>
      </c>
      <c r="N9" s="323" t="s">
        <v>1169</v>
      </c>
      <c r="O9" s="323" t="s">
        <v>165</v>
      </c>
      <c r="P9" s="323" t="s">
        <v>166</v>
      </c>
      <c r="Q9" s="323" t="s">
        <v>166</v>
      </c>
      <c r="R9" s="323" t="s">
        <v>167</v>
      </c>
      <c r="S9" s="323" t="s">
        <v>168</v>
      </c>
      <c r="T9" s="323" t="s">
        <v>1186</v>
      </c>
      <c r="U9" s="323" t="s">
        <v>169</v>
      </c>
      <c r="V9" s="323" t="s">
        <v>1187</v>
      </c>
      <c r="W9" s="323" t="s">
        <v>1188</v>
      </c>
      <c r="X9" s="323" t="s">
        <v>163</v>
      </c>
      <c r="Y9" s="323" t="s">
        <v>170</v>
      </c>
      <c r="Z9" s="323" t="s">
        <v>171</v>
      </c>
      <c r="AA9" s="323" t="s">
        <v>153</v>
      </c>
      <c r="AB9" s="323" t="s">
        <v>794</v>
      </c>
      <c r="AC9" s="323" t="s">
        <v>168</v>
      </c>
      <c r="AD9" s="323">
        <v>9</v>
      </c>
    </row>
    <row r="10" spans="1:30" ht="30">
      <c r="A10" s="323" t="s">
        <v>1189</v>
      </c>
      <c r="B10" s="323" t="s">
        <v>1190</v>
      </c>
      <c r="C10" s="323"/>
      <c r="D10" s="323" t="s">
        <v>172</v>
      </c>
      <c r="E10" s="323" t="s">
        <v>7</v>
      </c>
      <c r="F10" s="323" t="s">
        <v>6</v>
      </c>
      <c r="G10" s="323" t="s">
        <v>817</v>
      </c>
      <c r="H10" s="323" t="s">
        <v>817</v>
      </c>
      <c r="I10" s="323" t="s">
        <v>1166</v>
      </c>
      <c r="J10" s="323" t="s">
        <v>1191</v>
      </c>
      <c r="K10" s="323" t="s">
        <v>1168</v>
      </c>
      <c r="L10" s="323" t="s">
        <v>1175</v>
      </c>
      <c r="M10" s="323">
        <v>4</v>
      </c>
      <c r="N10" s="323" t="s">
        <v>1169</v>
      </c>
      <c r="O10" s="323" t="s">
        <v>173</v>
      </c>
      <c r="P10" s="323" t="s">
        <v>174</v>
      </c>
      <c r="Q10" s="323" t="s">
        <v>175</v>
      </c>
      <c r="R10" s="323" t="s">
        <v>176</v>
      </c>
      <c r="S10" s="323" t="s">
        <v>168</v>
      </c>
      <c r="T10" s="323" t="s">
        <v>1186</v>
      </c>
      <c r="U10" s="323" t="s">
        <v>177</v>
      </c>
      <c r="V10" s="323" t="s">
        <v>1187</v>
      </c>
      <c r="W10" s="323" t="s">
        <v>1188</v>
      </c>
      <c r="X10" s="323" t="s">
        <v>178</v>
      </c>
      <c r="Y10" s="323"/>
      <c r="Z10" s="323" t="s">
        <v>171</v>
      </c>
      <c r="AA10" s="323"/>
      <c r="AB10" s="323" t="s">
        <v>794</v>
      </c>
      <c r="AC10" s="323" t="s">
        <v>168</v>
      </c>
      <c r="AD10" s="323">
        <v>10</v>
      </c>
    </row>
    <row r="11" spans="1:30" ht="30">
      <c r="A11" s="323" t="s">
        <v>1192</v>
      </c>
      <c r="B11" s="323" t="s">
        <v>1193</v>
      </c>
      <c r="C11" s="323"/>
      <c r="D11" s="323" t="s">
        <v>179</v>
      </c>
      <c r="E11" s="323" t="s">
        <v>1194</v>
      </c>
      <c r="F11" s="323" t="s">
        <v>6</v>
      </c>
      <c r="G11" s="323" t="s">
        <v>817</v>
      </c>
      <c r="H11" s="323" t="s">
        <v>817</v>
      </c>
      <c r="I11" s="323" t="s">
        <v>1166</v>
      </c>
      <c r="J11" s="323" t="s">
        <v>1195</v>
      </c>
      <c r="K11" s="323" t="s">
        <v>1168</v>
      </c>
      <c r="L11" s="323" t="s">
        <v>799</v>
      </c>
      <c r="M11" s="323">
        <v>12</v>
      </c>
      <c r="N11" s="323" t="s">
        <v>1169</v>
      </c>
      <c r="O11" s="323" t="s">
        <v>180</v>
      </c>
      <c r="P11" s="323"/>
      <c r="Q11" s="323"/>
      <c r="R11" s="323"/>
      <c r="S11" s="323"/>
      <c r="T11" s="323"/>
      <c r="U11" s="323" t="s">
        <v>181</v>
      </c>
      <c r="V11" s="323" t="s">
        <v>1187</v>
      </c>
      <c r="W11" s="323" t="s">
        <v>1188</v>
      </c>
      <c r="X11" s="323" t="s">
        <v>182</v>
      </c>
      <c r="Y11" s="323"/>
      <c r="Z11" s="323"/>
      <c r="AA11" s="323" t="s">
        <v>183</v>
      </c>
      <c r="AB11" s="323" t="s">
        <v>794</v>
      </c>
      <c r="AC11" s="323" t="s">
        <v>168</v>
      </c>
      <c r="AD11" s="323">
        <v>11</v>
      </c>
    </row>
    <row r="12" spans="1:30" ht="30">
      <c r="A12" s="323" t="s">
        <v>1196</v>
      </c>
      <c r="B12" s="323" t="s">
        <v>1197</v>
      </c>
      <c r="C12" s="323"/>
      <c r="D12" s="323" t="s">
        <v>185</v>
      </c>
      <c r="E12" s="323" t="s">
        <v>1198</v>
      </c>
      <c r="F12" s="323" t="s">
        <v>6</v>
      </c>
      <c r="G12" s="323" t="s">
        <v>817</v>
      </c>
      <c r="H12" s="323" t="s">
        <v>817</v>
      </c>
      <c r="I12" s="323" t="s">
        <v>1166</v>
      </c>
      <c r="J12" s="323" t="s">
        <v>1199</v>
      </c>
      <c r="K12" s="323" t="s">
        <v>1168</v>
      </c>
      <c r="L12" s="323" t="s">
        <v>799</v>
      </c>
      <c r="M12" s="323">
        <v>9</v>
      </c>
      <c r="N12" s="323" t="s">
        <v>1169</v>
      </c>
      <c r="O12" s="323" t="s">
        <v>180</v>
      </c>
      <c r="P12" s="323" t="s">
        <v>186</v>
      </c>
      <c r="Q12" s="323" t="s">
        <v>187</v>
      </c>
      <c r="R12" s="323" t="s">
        <v>188</v>
      </c>
      <c r="S12" s="323" t="s">
        <v>168</v>
      </c>
      <c r="T12" s="323" t="s">
        <v>1200</v>
      </c>
      <c r="U12" s="323" t="s">
        <v>189</v>
      </c>
      <c r="V12" s="323" t="s">
        <v>1187</v>
      </c>
      <c r="W12" s="323" t="s">
        <v>1188</v>
      </c>
      <c r="X12" s="323" t="s">
        <v>190</v>
      </c>
      <c r="Y12" s="323"/>
      <c r="Z12" s="323" t="s">
        <v>171</v>
      </c>
      <c r="AA12" s="323" t="s">
        <v>153</v>
      </c>
      <c r="AB12" s="323" t="s">
        <v>794</v>
      </c>
      <c r="AC12" s="323" t="s">
        <v>168</v>
      </c>
      <c r="AD12" s="323">
        <v>12</v>
      </c>
    </row>
    <row r="13" spans="1:30" ht="30">
      <c r="A13" s="323" t="s">
        <v>1201</v>
      </c>
      <c r="B13" s="323"/>
      <c r="C13" s="323"/>
      <c r="D13" s="323" t="s">
        <v>191</v>
      </c>
      <c r="E13" s="323"/>
      <c r="F13" s="323" t="s">
        <v>6</v>
      </c>
      <c r="G13" s="323" t="s">
        <v>793</v>
      </c>
      <c r="H13" s="323"/>
      <c r="I13" s="323" t="s">
        <v>1166</v>
      </c>
      <c r="J13" s="323"/>
      <c r="K13" s="323" t="s">
        <v>844</v>
      </c>
      <c r="L13" s="323" t="s">
        <v>799</v>
      </c>
      <c r="M13" s="323">
        <v>3</v>
      </c>
      <c r="N13" s="323" t="s">
        <v>1169</v>
      </c>
      <c r="O13" s="323" t="s">
        <v>192</v>
      </c>
      <c r="P13" s="323" t="s">
        <v>193</v>
      </c>
      <c r="Q13" s="323" t="s">
        <v>194</v>
      </c>
      <c r="R13" s="323" t="s">
        <v>195</v>
      </c>
      <c r="S13" s="323" t="s">
        <v>168</v>
      </c>
      <c r="T13" s="323" t="s">
        <v>1186</v>
      </c>
      <c r="U13" s="323" t="s">
        <v>196</v>
      </c>
      <c r="V13" s="323"/>
      <c r="W13" s="323"/>
      <c r="X13" s="323" t="s">
        <v>182</v>
      </c>
      <c r="Y13" s="323" t="s">
        <v>170</v>
      </c>
      <c r="Z13" s="323" t="s">
        <v>171</v>
      </c>
      <c r="AA13" s="323" t="s">
        <v>183</v>
      </c>
      <c r="AB13" s="323" t="s">
        <v>794</v>
      </c>
      <c r="AC13" s="323" t="s">
        <v>802</v>
      </c>
      <c r="AD13" s="323">
        <v>13</v>
      </c>
    </row>
    <row r="14" spans="1:30" ht="30">
      <c r="A14" s="323" t="s">
        <v>861</v>
      </c>
      <c r="B14" s="323" t="s">
        <v>1202</v>
      </c>
      <c r="C14" s="323"/>
      <c r="D14" s="323" t="s">
        <v>197</v>
      </c>
      <c r="E14" s="323" t="s">
        <v>197</v>
      </c>
      <c r="F14" s="323" t="s">
        <v>6</v>
      </c>
      <c r="G14" s="323" t="s">
        <v>817</v>
      </c>
      <c r="H14" s="323" t="s">
        <v>817</v>
      </c>
      <c r="I14" s="323" t="s">
        <v>1166</v>
      </c>
      <c r="J14" s="323" t="s">
        <v>287</v>
      </c>
      <c r="K14" s="323" t="s">
        <v>1168</v>
      </c>
      <c r="L14" s="323" t="s">
        <v>1175</v>
      </c>
      <c r="M14" s="323">
        <v>2</v>
      </c>
      <c r="N14" s="323" t="s">
        <v>1169</v>
      </c>
      <c r="O14" s="323" t="s">
        <v>198</v>
      </c>
      <c r="P14" s="323" t="s">
        <v>199</v>
      </c>
      <c r="Q14" s="323" t="s">
        <v>200</v>
      </c>
      <c r="R14" s="323" t="s">
        <v>201</v>
      </c>
      <c r="S14" s="323" t="s">
        <v>168</v>
      </c>
      <c r="T14" s="323" t="s">
        <v>1203</v>
      </c>
      <c r="U14" s="323" t="s">
        <v>202</v>
      </c>
      <c r="V14" s="323" t="s">
        <v>1204</v>
      </c>
      <c r="W14" s="323" t="s">
        <v>1205</v>
      </c>
      <c r="X14" s="323" t="s">
        <v>163</v>
      </c>
      <c r="Y14" s="323"/>
      <c r="Z14" s="323" t="s">
        <v>171</v>
      </c>
      <c r="AA14" s="323"/>
      <c r="AB14" s="323" t="s">
        <v>794</v>
      </c>
      <c r="AC14" s="323" t="s">
        <v>168</v>
      </c>
      <c r="AD14" s="323">
        <v>14</v>
      </c>
    </row>
    <row r="15" spans="1:30" ht="30">
      <c r="A15" s="323" t="s">
        <v>865</v>
      </c>
      <c r="B15" s="323" t="s">
        <v>1206</v>
      </c>
      <c r="C15" s="323"/>
      <c r="D15" s="323" t="s">
        <v>204</v>
      </c>
      <c r="E15" s="323" t="s">
        <v>1207</v>
      </c>
      <c r="F15" s="323" t="s">
        <v>6</v>
      </c>
      <c r="G15" s="323" t="s">
        <v>817</v>
      </c>
      <c r="H15" s="323" t="s">
        <v>817</v>
      </c>
      <c r="I15" s="323" t="s">
        <v>1166</v>
      </c>
      <c r="J15" s="323" t="s">
        <v>242</v>
      </c>
      <c r="K15" s="323" t="s">
        <v>1168</v>
      </c>
      <c r="L15" s="323" t="s">
        <v>1175</v>
      </c>
      <c r="M15" s="323">
        <v>2</v>
      </c>
      <c r="N15" s="323" t="s">
        <v>1169</v>
      </c>
      <c r="O15" s="323" t="s">
        <v>205</v>
      </c>
      <c r="P15" s="323" t="s">
        <v>206</v>
      </c>
      <c r="Q15" s="323" t="s">
        <v>207</v>
      </c>
      <c r="R15" s="323" t="s">
        <v>208</v>
      </c>
      <c r="S15" s="323"/>
      <c r="T15" s="323" t="s">
        <v>1203</v>
      </c>
      <c r="U15" s="323" t="s">
        <v>209</v>
      </c>
      <c r="V15" s="323" t="s">
        <v>1204</v>
      </c>
      <c r="W15" s="323" t="s">
        <v>1205</v>
      </c>
      <c r="X15" s="323" t="s">
        <v>182</v>
      </c>
      <c r="Y15" s="323"/>
      <c r="Z15" s="323" t="s">
        <v>171</v>
      </c>
      <c r="AA15" s="323"/>
      <c r="AB15" s="323" t="s">
        <v>794</v>
      </c>
      <c r="AC15" s="323" t="s">
        <v>168</v>
      </c>
      <c r="AD15" s="323">
        <v>15</v>
      </c>
    </row>
    <row r="16" spans="1:30" ht="30">
      <c r="A16" s="323" t="s">
        <v>1208</v>
      </c>
      <c r="B16" s="323" t="s">
        <v>1209</v>
      </c>
      <c r="C16" s="323"/>
      <c r="D16" s="323" t="s">
        <v>211</v>
      </c>
      <c r="E16" s="323" t="s">
        <v>994</v>
      </c>
      <c r="F16" s="323" t="s">
        <v>6</v>
      </c>
      <c r="G16" s="323" t="s">
        <v>817</v>
      </c>
      <c r="H16" s="323" t="s">
        <v>817</v>
      </c>
      <c r="I16" s="323" t="s">
        <v>1166</v>
      </c>
      <c r="J16" s="323" t="s">
        <v>242</v>
      </c>
      <c r="K16" s="323" t="s">
        <v>1168</v>
      </c>
      <c r="L16" s="323" t="s">
        <v>799</v>
      </c>
      <c r="M16" s="323">
        <v>2</v>
      </c>
      <c r="N16" s="323" t="s">
        <v>1169</v>
      </c>
      <c r="O16" s="323" t="s">
        <v>212</v>
      </c>
      <c r="P16" s="323" t="s">
        <v>213</v>
      </c>
      <c r="Q16" s="323" t="s">
        <v>214</v>
      </c>
      <c r="R16" s="323" t="s">
        <v>208</v>
      </c>
      <c r="S16" s="323" t="s">
        <v>168</v>
      </c>
      <c r="T16" s="323" t="s">
        <v>1203</v>
      </c>
      <c r="U16" s="323" t="s">
        <v>215</v>
      </c>
      <c r="V16" s="323" t="s">
        <v>1204</v>
      </c>
      <c r="W16" s="323" t="s">
        <v>1205</v>
      </c>
      <c r="X16" s="323" t="s">
        <v>182</v>
      </c>
      <c r="Y16" s="323"/>
      <c r="Z16" s="323" t="s">
        <v>171</v>
      </c>
      <c r="AA16" s="323" t="s">
        <v>153</v>
      </c>
      <c r="AB16" s="323" t="s">
        <v>794</v>
      </c>
      <c r="AC16" s="323" t="s">
        <v>168</v>
      </c>
      <c r="AD16" s="323">
        <v>16</v>
      </c>
    </row>
    <row r="17" spans="1:30" ht="30">
      <c r="A17" s="323" t="s">
        <v>1210</v>
      </c>
      <c r="B17" s="323" t="s">
        <v>1211</v>
      </c>
      <c r="C17" s="323"/>
      <c r="D17" s="323" t="s">
        <v>217</v>
      </c>
      <c r="E17" s="323" t="s">
        <v>15</v>
      </c>
      <c r="F17" s="323" t="s">
        <v>6</v>
      </c>
      <c r="G17" s="323" t="s">
        <v>817</v>
      </c>
      <c r="H17" s="323" t="s">
        <v>817</v>
      </c>
      <c r="I17" s="323" t="s">
        <v>1166</v>
      </c>
      <c r="J17" s="323" t="s">
        <v>1212</v>
      </c>
      <c r="K17" s="323" t="s">
        <v>1168</v>
      </c>
      <c r="L17" s="323" t="s">
        <v>799</v>
      </c>
      <c r="M17" s="323">
        <v>3</v>
      </c>
      <c r="N17" s="323" t="s">
        <v>1169</v>
      </c>
      <c r="O17" s="323" t="s">
        <v>218</v>
      </c>
      <c r="P17" s="323" t="s">
        <v>219</v>
      </c>
      <c r="Q17" s="323" t="s">
        <v>220</v>
      </c>
      <c r="R17" s="323" t="s">
        <v>221</v>
      </c>
      <c r="S17" s="323" t="s">
        <v>168</v>
      </c>
      <c r="T17" s="323"/>
      <c r="U17" s="323" t="s">
        <v>222</v>
      </c>
      <c r="V17" s="323" t="s">
        <v>1204</v>
      </c>
      <c r="W17" s="323" t="s">
        <v>1205</v>
      </c>
      <c r="X17" s="323" t="s">
        <v>160</v>
      </c>
      <c r="Y17" s="323"/>
      <c r="Z17" s="323" t="s">
        <v>171</v>
      </c>
      <c r="AA17" s="323" t="s">
        <v>153</v>
      </c>
      <c r="AB17" s="323" t="s">
        <v>794</v>
      </c>
      <c r="AC17" s="323" t="s">
        <v>168</v>
      </c>
      <c r="AD17" s="323">
        <v>17</v>
      </c>
    </row>
    <row r="18" spans="1:30" ht="30">
      <c r="A18" s="323" t="s">
        <v>923</v>
      </c>
      <c r="B18" s="323" t="s">
        <v>1213</v>
      </c>
      <c r="C18" s="323"/>
      <c r="D18" s="323" t="s">
        <v>224</v>
      </c>
      <c r="E18" s="323" t="s">
        <v>224</v>
      </c>
      <c r="F18" s="323" t="s">
        <v>6</v>
      </c>
      <c r="G18" s="323" t="s">
        <v>817</v>
      </c>
      <c r="H18" s="323" t="s">
        <v>817</v>
      </c>
      <c r="I18" s="323" t="s">
        <v>1166</v>
      </c>
      <c r="J18" s="323" t="s">
        <v>1185</v>
      </c>
      <c r="K18" s="323" t="s">
        <v>1168</v>
      </c>
      <c r="L18" s="323" t="s">
        <v>1175</v>
      </c>
      <c r="M18" s="323">
        <v>2</v>
      </c>
      <c r="N18" s="323" t="s">
        <v>1169</v>
      </c>
      <c r="O18" s="323" t="s">
        <v>225</v>
      </c>
      <c r="P18" s="323" t="s">
        <v>226</v>
      </c>
      <c r="Q18" s="323" t="s">
        <v>227</v>
      </c>
      <c r="R18" s="323" t="s">
        <v>208</v>
      </c>
      <c r="S18" s="323" t="s">
        <v>168</v>
      </c>
      <c r="T18" s="323" t="s">
        <v>1200</v>
      </c>
      <c r="U18" s="323" t="s">
        <v>228</v>
      </c>
      <c r="V18" s="323" t="s">
        <v>1204</v>
      </c>
      <c r="W18" s="323" t="s">
        <v>1205</v>
      </c>
      <c r="X18" s="323" t="s">
        <v>163</v>
      </c>
      <c r="Y18" s="323"/>
      <c r="Z18" s="323" t="s">
        <v>171</v>
      </c>
      <c r="AA18" s="323" t="s">
        <v>229</v>
      </c>
      <c r="AB18" s="323" t="s">
        <v>794</v>
      </c>
      <c r="AC18" s="323" t="s">
        <v>168</v>
      </c>
      <c r="AD18" s="323">
        <v>18</v>
      </c>
    </row>
    <row r="19" spans="1:30" ht="30">
      <c r="A19" s="323" t="s">
        <v>874</v>
      </c>
      <c r="B19" s="323" t="s">
        <v>1214</v>
      </c>
      <c r="C19" s="323"/>
      <c r="D19" s="323" t="s">
        <v>230</v>
      </c>
      <c r="E19" s="323" t="s">
        <v>230</v>
      </c>
      <c r="F19" s="323" t="s">
        <v>6</v>
      </c>
      <c r="G19" s="323" t="s">
        <v>817</v>
      </c>
      <c r="H19" s="323" t="s">
        <v>817</v>
      </c>
      <c r="I19" s="323" t="s">
        <v>1166</v>
      </c>
      <c r="J19" s="323" t="s">
        <v>1215</v>
      </c>
      <c r="K19" s="323" t="s">
        <v>1168</v>
      </c>
      <c r="L19" s="323" t="s">
        <v>799</v>
      </c>
      <c r="M19" s="323">
        <v>9</v>
      </c>
      <c r="N19" s="323" t="s">
        <v>1169</v>
      </c>
      <c r="O19" s="323" t="s">
        <v>231</v>
      </c>
      <c r="P19" s="323" t="s">
        <v>232</v>
      </c>
      <c r="Q19" s="323" t="s">
        <v>233</v>
      </c>
      <c r="R19" s="323" t="s">
        <v>234</v>
      </c>
      <c r="S19" s="323"/>
      <c r="T19" s="323"/>
      <c r="U19" s="323" t="s">
        <v>231</v>
      </c>
      <c r="V19" s="323" t="s">
        <v>1204</v>
      </c>
      <c r="W19" s="323" t="s">
        <v>1205</v>
      </c>
      <c r="X19" s="323" t="s">
        <v>182</v>
      </c>
      <c r="Y19" s="323"/>
      <c r="Z19" s="323" t="s">
        <v>171</v>
      </c>
      <c r="AA19" s="323" t="s">
        <v>153</v>
      </c>
      <c r="AB19" s="323" t="s">
        <v>794</v>
      </c>
      <c r="AC19" s="323" t="s">
        <v>168</v>
      </c>
      <c r="AD19" s="323">
        <v>19</v>
      </c>
    </row>
    <row r="20" spans="1:30" ht="30">
      <c r="A20" s="323" t="s">
        <v>1216</v>
      </c>
      <c r="B20" s="323" t="s">
        <v>1217</v>
      </c>
      <c r="C20" s="323"/>
      <c r="D20" s="323" t="s">
        <v>236</v>
      </c>
      <c r="E20" s="323" t="s">
        <v>1218</v>
      </c>
      <c r="F20" s="323" t="s">
        <v>6</v>
      </c>
      <c r="G20" s="323" t="s">
        <v>817</v>
      </c>
      <c r="H20" s="323" t="s">
        <v>817</v>
      </c>
      <c r="I20" s="323" t="s">
        <v>1166</v>
      </c>
      <c r="J20" s="323" t="s">
        <v>287</v>
      </c>
      <c r="K20" s="323" t="s">
        <v>1168</v>
      </c>
      <c r="L20" s="323" t="s">
        <v>1175</v>
      </c>
      <c r="M20" s="323">
        <v>2</v>
      </c>
      <c r="N20" s="323" t="s">
        <v>1169</v>
      </c>
      <c r="O20" s="323" t="s">
        <v>237</v>
      </c>
      <c r="P20" s="323" t="s">
        <v>238</v>
      </c>
      <c r="Q20" s="323" t="s">
        <v>239</v>
      </c>
      <c r="R20" s="323"/>
      <c r="S20" s="323" t="s">
        <v>168</v>
      </c>
      <c r="T20" s="323" t="s">
        <v>1186</v>
      </c>
      <c r="U20" s="323" t="s">
        <v>240</v>
      </c>
      <c r="V20" s="323" t="s">
        <v>1204</v>
      </c>
      <c r="W20" s="323" t="s">
        <v>1205</v>
      </c>
      <c r="X20" s="323" t="s">
        <v>163</v>
      </c>
      <c r="Y20" s="323"/>
      <c r="Z20" s="323" t="s">
        <v>171</v>
      </c>
      <c r="AA20" s="323" t="s">
        <v>229</v>
      </c>
      <c r="AB20" s="323" t="s">
        <v>794</v>
      </c>
      <c r="AC20" s="323" t="s">
        <v>168</v>
      </c>
      <c r="AD20" s="323">
        <v>20</v>
      </c>
    </row>
    <row r="21" spans="1:30" ht="30">
      <c r="A21" s="323" t="s">
        <v>1219</v>
      </c>
      <c r="B21" s="323"/>
      <c r="C21" s="323"/>
      <c r="D21" s="323" t="s">
        <v>243</v>
      </c>
      <c r="E21" s="323"/>
      <c r="F21" s="323" t="s">
        <v>6</v>
      </c>
      <c r="G21" s="323" t="s">
        <v>793</v>
      </c>
      <c r="H21" s="323"/>
      <c r="I21" s="323" t="s">
        <v>1166</v>
      </c>
      <c r="J21" s="323"/>
      <c r="K21" s="323" t="s">
        <v>844</v>
      </c>
      <c r="L21" s="323" t="s">
        <v>799</v>
      </c>
      <c r="M21" s="323"/>
      <c r="N21" s="323" t="s">
        <v>1169</v>
      </c>
      <c r="O21" s="323" t="s">
        <v>244</v>
      </c>
      <c r="P21" s="323" t="s">
        <v>245</v>
      </c>
      <c r="Q21" s="323" t="s">
        <v>246</v>
      </c>
      <c r="R21" s="323"/>
      <c r="S21" s="323" t="s">
        <v>168</v>
      </c>
      <c r="T21" s="323" t="s">
        <v>1203</v>
      </c>
      <c r="U21" s="323" t="s">
        <v>247</v>
      </c>
      <c r="V21" s="323"/>
      <c r="W21" s="323"/>
      <c r="X21" s="323" t="s">
        <v>160</v>
      </c>
      <c r="Y21" s="323"/>
      <c r="Z21" s="323" t="s">
        <v>171</v>
      </c>
      <c r="AA21" s="323" t="s">
        <v>153</v>
      </c>
      <c r="AB21" s="323" t="s">
        <v>794</v>
      </c>
      <c r="AC21" s="323" t="s">
        <v>802</v>
      </c>
      <c r="AD21" s="323">
        <v>21</v>
      </c>
    </row>
    <row r="22" spans="1:30" ht="30">
      <c r="A22" s="323" t="s">
        <v>1220</v>
      </c>
      <c r="B22" s="323" t="s">
        <v>1221</v>
      </c>
      <c r="C22" s="323"/>
      <c r="D22" s="323" t="s">
        <v>248</v>
      </c>
      <c r="E22" s="323" t="s">
        <v>678</v>
      </c>
      <c r="F22" s="323" t="s">
        <v>6</v>
      </c>
      <c r="G22" s="323" t="s">
        <v>817</v>
      </c>
      <c r="H22" s="323" t="s">
        <v>817</v>
      </c>
      <c r="I22" s="323" t="s">
        <v>1166</v>
      </c>
      <c r="J22" s="323" t="s">
        <v>1222</v>
      </c>
      <c r="K22" s="323" t="s">
        <v>1168</v>
      </c>
      <c r="L22" s="323" t="s">
        <v>1223</v>
      </c>
      <c r="M22" s="323">
        <v>7</v>
      </c>
      <c r="N22" s="323" t="s">
        <v>1169</v>
      </c>
      <c r="O22" s="323" t="s">
        <v>249</v>
      </c>
      <c r="P22" s="323" t="s">
        <v>250</v>
      </c>
      <c r="Q22" s="323" t="s">
        <v>251</v>
      </c>
      <c r="R22" s="323" t="s">
        <v>252</v>
      </c>
      <c r="S22" s="323" t="s">
        <v>168</v>
      </c>
      <c r="T22" s="323" t="s">
        <v>1203</v>
      </c>
      <c r="U22" s="323" t="s">
        <v>253</v>
      </c>
      <c r="V22" s="323" t="s">
        <v>1204</v>
      </c>
      <c r="W22" s="323" t="s">
        <v>1205</v>
      </c>
      <c r="X22" s="323" t="s">
        <v>152</v>
      </c>
      <c r="Y22" s="323" t="s">
        <v>170</v>
      </c>
      <c r="Z22" s="323" t="s">
        <v>171</v>
      </c>
      <c r="AA22" s="323" t="s">
        <v>157</v>
      </c>
      <c r="AB22" s="323" t="s">
        <v>794</v>
      </c>
      <c r="AC22" s="323" t="s">
        <v>168</v>
      </c>
      <c r="AD22" s="323">
        <v>22</v>
      </c>
    </row>
    <row r="23" spans="1:30" ht="30">
      <c r="A23" s="323" t="s">
        <v>1224</v>
      </c>
      <c r="B23" s="323" t="s">
        <v>1225</v>
      </c>
      <c r="C23" s="323"/>
      <c r="D23" s="323" t="s">
        <v>254</v>
      </c>
      <c r="E23" s="323" t="s">
        <v>1226</v>
      </c>
      <c r="F23" s="323" t="s">
        <v>6</v>
      </c>
      <c r="G23" s="323" t="s">
        <v>817</v>
      </c>
      <c r="H23" s="323" t="s">
        <v>817</v>
      </c>
      <c r="I23" s="323" t="s">
        <v>1166</v>
      </c>
      <c r="J23" s="323" t="s">
        <v>287</v>
      </c>
      <c r="K23" s="323" t="s">
        <v>1168</v>
      </c>
      <c r="L23" s="323" t="s">
        <v>1175</v>
      </c>
      <c r="M23" s="323">
        <v>6</v>
      </c>
      <c r="N23" s="323" t="s">
        <v>1169</v>
      </c>
      <c r="O23" s="323" t="s">
        <v>255</v>
      </c>
      <c r="P23" s="323"/>
      <c r="Q23" s="323"/>
      <c r="R23" s="323"/>
      <c r="S23" s="323"/>
      <c r="T23" s="323"/>
      <c r="U23" s="323"/>
      <c r="V23" s="323" t="s">
        <v>1204</v>
      </c>
      <c r="W23" s="323" t="s">
        <v>1205</v>
      </c>
      <c r="X23" s="323" t="s">
        <v>163</v>
      </c>
      <c r="Y23" s="323"/>
      <c r="Z23" s="323"/>
      <c r="AA23" s="323"/>
      <c r="AB23" s="323" t="s">
        <v>794</v>
      </c>
      <c r="AC23" s="323" t="s">
        <v>808</v>
      </c>
      <c r="AD23" s="323">
        <v>23</v>
      </c>
    </row>
    <row r="24" spans="1:30" ht="30">
      <c r="A24" s="323" t="s">
        <v>1227</v>
      </c>
      <c r="B24" s="323" t="s">
        <v>1228</v>
      </c>
      <c r="C24" s="323"/>
      <c r="D24" s="323" t="s">
        <v>256</v>
      </c>
      <c r="E24" s="323" t="s">
        <v>1229</v>
      </c>
      <c r="F24" s="323" t="s">
        <v>6</v>
      </c>
      <c r="G24" s="323" t="s">
        <v>817</v>
      </c>
      <c r="H24" s="323" t="s">
        <v>817</v>
      </c>
      <c r="I24" s="323" t="s">
        <v>1166</v>
      </c>
      <c r="J24" s="323" t="s">
        <v>1230</v>
      </c>
      <c r="K24" s="323" t="s">
        <v>1168</v>
      </c>
      <c r="L24" s="323" t="s">
        <v>799</v>
      </c>
      <c r="M24" s="323">
        <v>3</v>
      </c>
      <c r="N24" s="323" t="s">
        <v>1169</v>
      </c>
      <c r="O24" s="323" t="s">
        <v>257</v>
      </c>
      <c r="P24" s="323" t="s">
        <v>258</v>
      </c>
      <c r="Q24" s="323" t="s">
        <v>259</v>
      </c>
      <c r="R24" s="323" t="s">
        <v>260</v>
      </c>
      <c r="S24" s="323" t="s">
        <v>168</v>
      </c>
      <c r="T24" s="323" t="s">
        <v>1203</v>
      </c>
      <c r="U24" s="323" t="s">
        <v>261</v>
      </c>
      <c r="V24" s="323" t="s">
        <v>1204</v>
      </c>
      <c r="W24" s="323" t="s">
        <v>1205</v>
      </c>
      <c r="X24" s="323" t="s">
        <v>262</v>
      </c>
      <c r="Y24" s="323"/>
      <c r="Z24" s="323" t="s">
        <v>171</v>
      </c>
      <c r="AA24" s="323" t="s">
        <v>153</v>
      </c>
      <c r="AB24" s="323" t="s">
        <v>794</v>
      </c>
      <c r="AC24" s="323" t="s">
        <v>168</v>
      </c>
      <c r="AD24" s="323">
        <v>24</v>
      </c>
    </row>
    <row r="25" spans="1:30" ht="30">
      <c r="A25" s="323" t="s">
        <v>932</v>
      </c>
      <c r="B25" s="323" t="s">
        <v>1231</v>
      </c>
      <c r="C25" s="323"/>
      <c r="D25" s="323" t="s">
        <v>263</v>
      </c>
      <c r="E25" s="323" t="s">
        <v>263</v>
      </c>
      <c r="F25" s="323" t="s">
        <v>6</v>
      </c>
      <c r="G25" s="323" t="s">
        <v>1232</v>
      </c>
      <c r="H25" s="323" t="s">
        <v>1233</v>
      </c>
      <c r="I25" s="323" t="s">
        <v>1166</v>
      </c>
      <c r="J25" s="323" t="s">
        <v>1234</v>
      </c>
      <c r="K25" s="323" t="s">
        <v>1168</v>
      </c>
      <c r="L25" s="323" t="s">
        <v>1175</v>
      </c>
      <c r="M25" s="323">
        <v>1</v>
      </c>
      <c r="N25" s="323" t="s">
        <v>1235</v>
      </c>
      <c r="O25" s="323" t="s">
        <v>264</v>
      </c>
      <c r="P25" s="323"/>
      <c r="Q25" s="323" t="s">
        <v>264</v>
      </c>
      <c r="R25" s="323"/>
      <c r="S25" s="323" t="s">
        <v>265</v>
      </c>
      <c r="T25" s="323" t="s">
        <v>1186</v>
      </c>
      <c r="U25" s="323" t="s">
        <v>264</v>
      </c>
      <c r="V25" s="323" t="s">
        <v>1204</v>
      </c>
      <c r="W25" s="323" t="s">
        <v>1236</v>
      </c>
      <c r="X25" s="323" t="s">
        <v>266</v>
      </c>
      <c r="Y25" s="323"/>
      <c r="Z25" s="323"/>
      <c r="AA25" s="323"/>
      <c r="AB25" s="323" t="s">
        <v>794</v>
      </c>
      <c r="AC25" s="323" t="s">
        <v>168</v>
      </c>
      <c r="AD25" s="323">
        <v>25</v>
      </c>
    </row>
    <row r="26" spans="1:30" ht="30">
      <c r="A26" s="323" t="s">
        <v>1237</v>
      </c>
      <c r="B26" s="323" t="s">
        <v>1238</v>
      </c>
      <c r="C26" s="323"/>
      <c r="D26" s="323" t="s">
        <v>971</v>
      </c>
      <c r="E26" s="323" t="s">
        <v>971</v>
      </c>
      <c r="F26" s="323" t="s">
        <v>6</v>
      </c>
      <c r="G26" s="323" t="s">
        <v>817</v>
      </c>
      <c r="H26" s="323" t="s">
        <v>817</v>
      </c>
      <c r="I26" s="323" t="s">
        <v>1166</v>
      </c>
      <c r="J26" s="323" t="s">
        <v>242</v>
      </c>
      <c r="K26" s="323" t="s">
        <v>1168</v>
      </c>
      <c r="L26" s="323" t="s">
        <v>1175</v>
      </c>
      <c r="M26" s="323">
        <v>2</v>
      </c>
      <c r="N26" s="323" t="s">
        <v>1169</v>
      </c>
      <c r="O26" s="323" t="s">
        <v>268</v>
      </c>
      <c r="P26" s="323" t="s">
        <v>269</v>
      </c>
      <c r="Q26" s="323" t="s">
        <v>270</v>
      </c>
      <c r="R26" s="323" t="s">
        <v>271</v>
      </c>
      <c r="S26" s="323" t="s">
        <v>168</v>
      </c>
      <c r="T26" s="323" t="s">
        <v>1203</v>
      </c>
      <c r="U26" s="323" t="s">
        <v>272</v>
      </c>
      <c r="V26" s="323" t="s">
        <v>1204</v>
      </c>
      <c r="W26" s="323" t="s">
        <v>1205</v>
      </c>
      <c r="X26" s="323" t="s">
        <v>182</v>
      </c>
      <c r="Y26" s="323"/>
      <c r="Z26" s="323" t="s">
        <v>171</v>
      </c>
      <c r="AA26" s="323" t="s">
        <v>229</v>
      </c>
      <c r="AB26" s="323" t="s">
        <v>794</v>
      </c>
      <c r="AC26" s="323" t="s">
        <v>168</v>
      </c>
      <c r="AD26" s="323">
        <v>26</v>
      </c>
    </row>
    <row r="27" spans="1:30" ht="30">
      <c r="A27" s="323" t="s">
        <v>983</v>
      </c>
      <c r="B27" s="323" t="s">
        <v>1239</v>
      </c>
      <c r="C27" s="323"/>
      <c r="D27" s="323" t="s">
        <v>273</v>
      </c>
      <c r="E27" s="323" t="s">
        <v>1240</v>
      </c>
      <c r="F27" s="323" t="s">
        <v>6</v>
      </c>
      <c r="G27" s="323" t="s">
        <v>821</v>
      </c>
      <c r="H27" s="323" t="s">
        <v>1233</v>
      </c>
      <c r="I27" s="323" t="s">
        <v>1166</v>
      </c>
      <c r="J27" s="323" t="s">
        <v>1241</v>
      </c>
      <c r="K27" s="323" t="s">
        <v>1168</v>
      </c>
      <c r="L27" s="323" t="s">
        <v>822</v>
      </c>
      <c r="M27" s="323">
        <v>1</v>
      </c>
      <c r="N27" s="323" t="s">
        <v>1235</v>
      </c>
      <c r="O27" s="323" t="s">
        <v>274</v>
      </c>
      <c r="P27" s="323" t="s">
        <v>275</v>
      </c>
      <c r="Q27" s="323" t="s">
        <v>276</v>
      </c>
      <c r="R27" s="323" t="s">
        <v>271</v>
      </c>
      <c r="S27" s="323"/>
      <c r="T27" s="323"/>
      <c r="U27" s="323"/>
      <c r="V27" s="323" t="s">
        <v>1204</v>
      </c>
      <c r="W27" s="323" t="s">
        <v>1205</v>
      </c>
      <c r="X27" s="323" t="s">
        <v>277</v>
      </c>
      <c r="Y27" s="323"/>
      <c r="Z27" s="323" t="s">
        <v>171</v>
      </c>
      <c r="AA27" s="323" t="s">
        <v>278</v>
      </c>
      <c r="AB27" s="323" t="s">
        <v>823</v>
      </c>
      <c r="AC27" s="323" t="s">
        <v>168</v>
      </c>
      <c r="AD27" s="323">
        <v>27</v>
      </c>
    </row>
    <row r="28" spans="1:30" ht="30">
      <c r="A28" s="323" t="s">
        <v>1242</v>
      </c>
      <c r="B28" s="323" t="s">
        <v>1243</v>
      </c>
      <c r="C28" s="323"/>
      <c r="D28" s="323" t="s">
        <v>1244</v>
      </c>
      <c r="E28" s="323" t="s">
        <v>1245</v>
      </c>
      <c r="F28" s="323" t="s">
        <v>6</v>
      </c>
      <c r="G28" s="323" t="s">
        <v>817</v>
      </c>
      <c r="H28" s="323" t="s">
        <v>817</v>
      </c>
      <c r="I28" s="323" t="s">
        <v>1166</v>
      </c>
      <c r="J28" s="323" t="s">
        <v>242</v>
      </c>
      <c r="K28" s="323" t="s">
        <v>1168</v>
      </c>
      <c r="L28" s="323" t="s">
        <v>1223</v>
      </c>
      <c r="M28" s="323">
        <v>4</v>
      </c>
      <c r="N28" s="323" t="s">
        <v>1169</v>
      </c>
      <c r="O28" s="323" t="s">
        <v>280</v>
      </c>
      <c r="P28" s="323" t="s">
        <v>281</v>
      </c>
      <c r="Q28" s="323" t="s">
        <v>282</v>
      </c>
      <c r="R28" s="323" t="s">
        <v>283</v>
      </c>
      <c r="S28" s="323" t="s">
        <v>168</v>
      </c>
      <c r="T28" s="323" t="s">
        <v>1203</v>
      </c>
      <c r="U28" s="323" t="s">
        <v>284</v>
      </c>
      <c r="V28" s="323" t="s">
        <v>1204</v>
      </c>
      <c r="W28" s="323" t="s">
        <v>1205</v>
      </c>
      <c r="X28" s="323" t="s">
        <v>182</v>
      </c>
      <c r="Y28" s="323" t="s">
        <v>285</v>
      </c>
      <c r="Z28" s="323" t="s">
        <v>171</v>
      </c>
      <c r="AA28" s="323"/>
      <c r="AB28" s="323" t="s">
        <v>794</v>
      </c>
      <c r="AC28" s="323" t="s">
        <v>168</v>
      </c>
      <c r="AD28" s="323">
        <v>28</v>
      </c>
    </row>
    <row r="29" spans="1:30" ht="30">
      <c r="A29" s="323" t="s">
        <v>1246</v>
      </c>
      <c r="B29" s="323" t="s">
        <v>1247</v>
      </c>
      <c r="C29" s="323"/>
      <c r="D29" s="323" t="s">
        <v>289</v>
      </c>
      <c r="E29" s="323" t="s">
        <v>1248</v>
      </c>
      <c r="F29" s="323" t="s">
        <v>6</v>
      </c>
      <c r="G29" s="323" t="s">
        <v>817</v>
      </c>
      <c r="H29" s="323" t="s">
        <v>817</v>
      </c>
      <c r="I29" s="323" t="s">
        <v>1166</v>
      </c>
      <c r="J29" s="323" t="s">
        <v>1185</v>
      </c>
      <c r="K29" s="323" t="s">
        <v>1168</v>
      </c>
      <c r="L29" s="323" t="s">
        <v>1175</v>
      </c>
      <c r="M29" s="323">
        <v>4</v>
      </c>
      <c r="N29" s="323" t="s">
        <v>1169</v>
      </c>
      <c r="O29" s="323" t="s">
        <v>290</v>
      </c>
      <c r="P29" s="323" t="s">
        <v>291</v>
      </c>
      <c r="Q29" s="323" t="s">
        <v>292</v>
      </c>
      <c r="R29" s="323" t="s">
        <v>293</v>
      </c>
      <c r="S29" s="323" t="s">
        <v>168</v>
      </c>
      <c r="T29" s="323" t="s">
        <v>1186</v>
      </c>
      <c r="U29" s="323" t="s">
        <v>294</v>
      </c>
      <c r="V29" s="323" t="s">
        <v>1249</v>
      </c>
      <c r="W29" s="323" t="s">
        <v>1250</v>
      </c>
      <c r="X29" s="323" t="s">
        <v>163</v>
      </c>
      <c r="Y29" s="323"/>
      <c r="Z29" s="323" t="s">
        <v>171</v>
      </c>
      <c r="AA29" s="323"/>
      <c r="AB29" s="323" t="s">
        <v>794</v>
      </c>
      <c r="AC29" s="323" t="s">
        <v>168</v>
      </c>
      <c r="AD29" s="323">
        <v>29</v>
      </c>
    </row>
    <row r="30" spans="1:30" ht="30">
      <c r="A30" s="323" t="s">
        <v>883</v>
      </c>
      <c r="B30" s="323" t="s">
        <v>1251</v>
      </c>
      <c r="C30" s="323"/>
      <c r="D30" s="323" t="s">
        <v>22</v>
      </c>
      <c r="E30" s="323" t="s">
        <v>22</v>
      </c>
      <c r="F30" s="323" t="s">
        <v>6</v>
      </c>
      <c r="G30" s="323" t="s">
        <v>817</v>
      </c>
      <c r="H30" s="323" t="s">
        <v>817</v>
      </c>
      <c r="I30" s="323" t="s">
        <v>1166</v>
      </c>
      <c r="J30" s="323" t="s">
        <v>1185</v>
      </c>
      <c r="K30" s="323" t="s">
        <v>1168</v>
      </c>
      <c r="L30" s="323" t="s">
        <v>799</v>
      </c>
      <c r="M30" s="323">
        <v>4</v>
      </c>
      <c r="N30" s="323" t="s">
        <v>1169</v>
      </c>
      <c r="O30" s="323" t="s">
        <v>296</v>
      </c>
      <c r="P30" s="323" t="s">
        <v>297</v>
      </c>
      <c r="Q30" s="323" t="s">
        <v>298</v>
      </c>
      <c r="R30" s="323" t="s">
        <v>299</v>
      </c>
      <c r="S30" s="323" t="s">
        <v>168</v>
      </c>
      <c r="T30" s="323" t="s">
        <v>1186</v>
      </c>
      <c r="U30" s="323" t="s">
        <v>300</v>
      </c>
      <c r="V30" s="323" t="s">
        <v>1249</v>
      </c>
      <c r="W30" s="323" t="s">
        <v>1250</v>
      </c>
      <c r="X30" s="323" t="s">
        <v>160</v>
      </c>
      <c r="Y30" s="323"/>
      <c r="Z30" s="323" t="s">
        <v>171</v>
      </c>
      <c r="AA30" s="323" t="s">
        <v>153</v>
      </c>
      <c r="AB30" s="323" t="s">
        <v>794</v>
      </c>
      <c r="AC30" s="323" t="s">
        <v>168</v>
      </c>
      <c r="AD30" s="323">
        <v>30</v>
      </c>
    </row>
    <row r="31" spans="1:30" ht="30">
      <c r="A31" s="323" t="s">
        <v>1252</v>
      </c>
      <c r="B31" s="323" t="s">
        <v>1253</v>
      </c>
      <c r="C31" s="323"/>
      <c r="D31" s="323" t="s">
        <v>301</v>
      </c>
      <c r="E31" s="323" t="s">
        <v>301</v>
      </c>
      <c r="F31" s="323" t="s">
        <v>6</v>
      </c>
      <c r="G31" s="323" t="s">
        <v>817</v>
      </c>
      <c r="H31" s="323" t="s">
        <v>817</v>
      </c>
      <c r="I31" s="323" t="s">
        <v>1166</v>
      </c>
      <c r="J31" s="323" t="s">
        <v>309</v>
      </c>
      <c r="K31" s="323" t="s">
        <v>1168</v>
      </c>
      <c r="L31" s="323" t="s">
        <v>1175</v>
      </c>
      <c r="M31" s="323">
        <v>2</v>
      </c>
      <c r="N31" s="323" t="s">
        <v>1169</v>
      </c>
      <c r="O31" s="323" t="s">
        <v>302</v>
      </c>
      <c r="P31" s="323" t="s">
        <v>303</v>
      </c>
      <c r="Q31" s="323" t="s">
        <v>304</v>
      </c>
      <c r="R31" s="323" t="s">
        <v>305</v>
      </c>
      <c r="S31" s="323" t="s">
        <v>168</v>
      </c>
      <c r="T31" s="323" t="s">
        <v>1186</v>
      </c>
      <c r="U31" s="323" t="s">
        <v>306</v>
      </c>
      <c r="V31" s="323" t="s">
        <v>1249</v>
      </c>
      <c r="W31" s="323" t="s">
        <v>1254</v>
      </c>
      <c r="X31" s="323" t="s">
        <v>307</v>
      </c>
      <c r="Y31" s="323"/>
      <c r="Z31" s="323" t="s">
        <v>171</v>
      </c>
      <c r="AA31" s="323"/>
      <c r="AB31" s="323" t="s">
        <v>794</v>
      </c>
      <c r="AC31" s="323" t="s">
        <v>168</v>
      </c>
      <c r="AD31" s="323">
        <v>31</v>
      </c>
    </row>
    <row r="32" spans="1:30" ht="30">
      <c r="A32" s="323" t="s">
        <v>1255</v>
      </c>
      <c r="B32" s="323"/>
      <c r="C32" s="323"/>
      <c r="D32" s="323"/>
      <c r="E32" s="323"/>
      <c r="F32" s="323" t="s">
        <v>6</v>
      </c>
      <c r="G32" s="323" t="s">
        <v>793</v>
      </c>
      <c r="H32" s="323"/>
      <c r="I32" s="323" t="s">
        <v>1166</v>
      </c>
      <c r="J32" s="323"/>
      <c r="K32" s="323" t="s">
        <v>844</v>
      </c>
      <c r="L32" s="323" t="s">
        <v>1175</v>
      </c>
      <c r="M32" s="323">
        <v>3</v>
      </c>
      <c r="N32" s="323" t="s">
        <v>1169</v>
      </c>
      <c r="O32" s="323" t="s">
        <v>310</v>
      </c>
      <c r="P32" s="323" t="s">
        <v>311</v>
      </c>
      <c r="Q32" s="323" t="s">
        <v>312</v>
      </c>
      <c r="R32" s="323" t="s">
        <v>313</v>
      </c>
      <c r="S32" s="323" t="s">
        <v>168</v>
      </c>
      <c r="T32" s="323" t="s">
        <v>1186</v>
      </c>
      <c r="U32" s="323" t="s">
        <v>314</v>
      </c>
      <c r="V32" s="323"/>
      <c r="W32" s="323"/>
      <c r="X32" s="323" t="s">
        <v>315</v>
      </c>
      <c r="Y32" s="323"/>
      <c r="Z32" s="323" t="s">
        <v>171</v>
      </c>
      <c r="AA32" s="323"/>
      <c r="AB32" s="323" t="s">
        <v>794</v>
      </c>
      <c r="AC32" s="323" t="s">
        <v>1256</v>
      </c>
      <c r="AD32" s="323">
        <v>32</v>
      </c>
    </row>
    <row r="33" spans="1:30" ht="30">
      <c r="A33" s="323" t="s">
        <v>892</v>
      </c>
      <c r="B33" s="323" t="s">
        <v>1257</v>
      </c>
      <c r="C33" s="323"/>
      <c r="D33" s="323" t="s">
        <v>26</v>
      </c>
      <c r="E33" s="323" t="s">
        <v>26</v>
      </c>
      <c r="F33" s="323" t="s">
        <v>6</v>
      </c>
      <c r="G33" s="323" t="s">
        <v>817</v>
      </c>
      <c r="H33" s="323" t="s">
        <v>817</v>
      </c>
      <c r="I33" s="323" t="s">
        <v>1166</v>
      </c>
      <c r="J33" s="323" t="s">
        <v>242</v>
      </c>
      <c r="K33" s="323" t="s">
        <v>1168</v>
      </c>
      <c r="L33" s="323" t="s">
        <v>1175</v>
      </c>
      <c r="M33" s="323">
        <v>3</v>
      </c>
      <c r="N33" s="323" t="s">
        <v>1169</v>
      </c>
      <c r="O33" s="323" t="s">
        <v>316</v>
      </c>
      <c r="P33" s="323" t="s">
        <v>317</v>
      </c>
      <c r="Q33" s="323" t="s">
        <v>318</v>
      </c>
      <c r="R33" s="323" t="s">
        <v>313</v>
      </c>
      <c r="S33" s="323" t="s">
        <v>168</v>
      </c>
      <c r="T33" s="323" t="s">
        <v>1186</v>
      </c>
      <c r="U33" s="323" t="s">
        <v>314</v>
      </c>
      <c r="V33" s="323" t="s">
        <v>1249</v>
      </c>
      <c r="W33" s="323" t="s">
        <v>1250</v>
      </c>
      <c r="X33" s="323" t="s">
        <v>152</v>
      </c>
      <c r="Y33" s="323"/>
      <c r="Z33" s="323" t="s">
        <v>171</v>
      </c>
      <c r="AA33" s="323"/>
      <c r="AB33" s="323" t="s">
        <v>794</v>
      </c>
      <c r="AC33" s="323" t="s">
        <v>168</v>
      </c>
      <c r="AD33" s="323">
        <v>33</v>
      </c>
    </row>
    <row r="34" spans="1:30" ht="30">
      <c r="A34" s="323" t="s">
        <v>895</v>
      </c>
      <c r="B34" s="323" t="s">
        <v>1258</v>
      </c>
      <c r="C34" s="323"/>
      <c r="D34" s="323" t="s">
        <v>30</v>
      </c>
      <c r="E34" s="323" t="s">
        <v>30</v>
      </c>
      <c r="F34" s="323" t="s">
        <v>6</v>
      </c>
      <c r="G34" s="323" t="s">
        <v>817</v>
      </c>
      <c r="H34" s="323" t="s">
        <v>817</v>
      </c>
      <c r="I34" s="323" t="s">
        <v>1166</v>
      </c>
      <c r="J34" s="323" t="s">
        <v>287</v>
      </c>
      <c r="K34" s="323" t="s">
        <v>1168</v>
      </c>
      <c r="L34" s="323" t="s">
        <v>1175</v>
      </c>
      <c r="M34" s="323">
        <v>3</v>
      </c>
      <c r="N34" s="323" t="s">
        <v>1169</v>
      </c>
      <c r="O34" s="323" t="s">
        <v>321</v>
      </c>
      <c r="P34" s="323" t="s">
        <v>322</v>
      </c>
      <c r="Q34" s="323" t="s">
        <v>323</v>
      </c>
      <c r="R34" s="323" t="s">
        <v>324</v>
      </c>
      <c r="S34" s="323" t="s">
        <v>168</v>
      </c>
      <c r="T34" s="323" t="s">
        <v>1186</v>
      </c>
      <c r="U34" s="323" t="s">
        <v>325</v>
      </c>
      <c r="V34" s="323" t="s">
        <v>1249</v>
      </c>
      <c r="W34" s="323" t="s">
        <v>1250</v>
      </c>
      <c r="X34" s="323" t="s">
        <v>163</v>
      </c>
      <c r="Y34" s="323"/>
      <c r="Z34" s="323" t="s">
        <v>171</v>
      </c>
      <c r="AA34" s="323"/>
      <c r="AB34" s="323" t="s">
        <v>794</v>
      </c>
      <c r="AC34" s="323" t="s">
        <v>168</v>
      </c>
      <c r="AD34" s="323">
        <v>34</v>
      </c>
    </row>
    <row r="35" spans="1:30" ht="30">
      <c r="A35" s="323" t="s">
        <v>1259</v>
      </c>
      <c r="B35" s="323" t="s">
        <v>1260</v>
      </c>
      <c r="C35" s="323"/>
      <c r="D35" s="323" t="s">
        <v>37</v>
      </c>
      <c r="E35" s="323" t="s">
        <v>901</v>
      </c>
      <c r="F35" s="323" t="s">
        <v>6</v>
      </c>
      <c r="G35" s="323" t="s">
        <v>817</v>
      </c>
      <c r="H35" s="323" t="s">
        <v>817</v>
      </c>
      <c r="I35" s="323" t="s">
        <v>1166</v>
      </c>
      <c r="J35" s="323" t="s">
        <v>1212</v>
      </c>
      <c r="K35" s="323" t="s">
        <v>1168</v>
      </c>
      <c r="L35" s="323" t="s">
        <v>1175</v>
      </c>
      <c r="M35" s="323">
        <v>2</v>
      </c>
      <c r="N35" s="323" t="s">
        <v>1169</v>
      </c>
      <c r="O35" s="323" t="s">
        <v>326</v>
      </c>
      <c r="P35" s="323" t="s">
        <v>327</v>
      </c>
      <c r="Q35" s="323" t="s">
        <v>328</v>
      </c>
      <c r="R35" s="323" t="s">
        <v>329</v>
      </c>
      <c r="S35" s="323" t="s">
        <v>168</v>
      </c>
      <c r="T35" s="323" t="s">
        <v>1186</v>
      </c>
      <c r="U35" s="323" t="s">
        <v>330</v>
      </c>
      <c r="V35" s="323" t="s">
        <v>1249</v>
      </c>
      <c r="W35" s="323" t="s">
        <v>1250</v>
      </c>
      <c r="X35" s="323" t="s">
        <v>160</v>
      </c>
      <c r="Y35" s="323"/>
      <c r="Z35" s="323" t="s">
        <v>171</v>
      </c>
      <c r="AA35" s="323"/>
      <c r="AB35" s="323" t="s">
        <v>794</v>
      </c>
      <c r="AC35" s="323" t="s">
        <v>168</v>
      </c>
      <c r="AD35" s="323">
        <v>35</v>
      </c>
    </row>
    <row r="36" spans="1:30" ht="30">
      <c r="A36" s="323" t="s">
        <v>904</v>
      </c>
      <c r="B36" s="323" t="s">
        <v>1261</v>
      </c>
      <c r="C36" s="323"/>
      <c r="D36" s="323" t="s">
        <v>331</v>
      </c>
      <c r="E36" s="323" t="s">
        <v>331</v>
      </c>
      <c r="F36" s="323" t="s">
        <v>6</v>
      </c>
      <c r="G36" s="323" t="s">
        <v>817</v>
      </c>
      <c r="H36" s="323" t="s">
        <v>817</v>
      </c>
      <c r="I36" s="323" t="s">
        <v>1166</v>
      </c>
      <c r="J36" s="323" t="s">
        <v>287</v>
      </c>
      <c r="K36" s="323" t="s">
        <v>1168</v>
      </c>
      <c r="L36" s="323" t="s">
        <v>1175</v>
      </c>
      <c r="M36" s="323">
        <v>2</v>
      </c>
      <c r="N36" s="323" t="s">
        <v>1169</v>
      </c>
      <c r="O36" s="323" t="s">
        <v>332</v>
      </c>
      <c r="P36" s="323" t="s">
        <v>333</v>
      </c>
      <c r="Q36" s="323" t="s">
        <v>334</v>
      </c>
      <c r="R36" s="323" t="s">
        <v>335</v>
      </c>
      <c r="S36" s="323" t="s">
        <v>168</v>
      </c>
      <c r="T36" s="323" t="s">
        <v>1186</v>
      </c>
      <c r="U36" s="323" t="s">
        <v>306</v>
      </c>
      <c r="V36" s="323" t="s">
        <v>1249</v>
      </c>
      <c r="W36" s="323" t="s">
        <v>1250</v>
      </c>
      <c r="X36" s="323" t="s">
        <v>163</v>
      </c>
      <c r="Y36" s="323"/>
      <c r="Z36" s="323" t="s">
        <v>171</v>
      </c>
      <c r="AA36" s="323"/>
      <c r="AB36" s="323" t="s">
        <v>794</v>
      </c>
      <c r="AC36" s="323" t="s">
        <v>168</v>
      </c>
      <c r="AD36" s="323">
        <v>36</v>
      </c>
    </row>
    <row r="37" spans="1:30" ht="30">
      <c r="A37" s="323" t="s">
        <v>910</v>
      </c>
      <c r="B37" s="323" t="s">
        <v>1262</v>
      </c>
      <c r="C37" s="323"/>
      <c r="D37" s="323" t="s">
        <v>336</v>
      </c>
      <c r="E37" s="323" t="s">
        <v>1263</v>
      </c>
      <c r="F37" s="323" t="s">
        <v>6</v>
      </c>
      <c r="G37" s="323" t="s">
        <v>817</v>
      </c>
      <c r="H37" s="323" t="s">
        <v>817</v>
      </c>
      <c r="I37" s="323" t="s">
        <v>1166</v>
      </c>
      <c r="J37" s="323" t="s">
        <v>287</v>
      </c>
      <c r="K37" s="323" t="s">
        <v>1168</v>
      </c>
      <c r="L37" s="323" t="s">
        <v>1175</v>
      </c>
      <c r="M37" s="323">
        <v>2</v>
      </c>
      <c r="N37" s="323" t="s">
        <v>1169</v>
      </c>
      <c r="O37" s="323" t="s">
        <v>337</v>
      </c>
      <c r="P37" s="323" t="s">
        <v>338</v>
      </c>
      <c r="Q37" s="323" t="s">
        <v>339</v>
      </c>
      <c r="R37" s="323"/>
      <c r="S37" s="323" t="s">
        <v>168</v>
      </c>
      <c r="T37" s="323" t="s">
        <v>1203</v>
      </c>
      <c r="U37" s="323" t="s">
        <v>340</v>
      </c>
      <c r="V37" s="323" t="s">
        <v>1249</v>
      </c>
      <c r="W37" s="323" t="s">
        <v>1250</v>
      </c>
      <c r="X37" s="323" t="s">
        <v>163</v>
      </c>
      <c r="Y37" s="323"/>
      <c r="Z37" s="323" t="s">
        <v>171</v>
      </c>
      <c r="AA37" s="323"/>
      <c r="AB37" s="323" t="s">
        <v>794</v>
      </c>
      <c r="AC37" s="323" t="s">
        <v>168</v>
      </c>
      <c r="AD37" s="323">
        <v>38</v>
      </c>
    </row>
    <row r="38" spans="1:30" ht="30">
      <c r="A38" s="323" t="s">
        <v>1264</v>
      </c>
      <c r="B38" s="323" t="s">
        <v>1265</v>
      </c>
      <c r="C38" s="323"/>
      <c r="D38" s="323" t="s">
        <v>341</v>
      </c>
      <c r="E38" s="323" t="s">
        <v>1266</v>
      </c>
      <c r="F38" s="323" t="s">
        <v>6</v>
      </c>
      <c r="G38" s="323" t="s">
        <v>817</v>
      </c>
      <c r="H38" s="323" t="s">
        <v>817</v>
      </c>
      <c r="I38" s="323" t="s">
        <v>1166</v>
      </c>
      <c r="J38" s="323" t="s">
        <v>287</v>
      </c>
      <c r="K38" s="323" t="s">
        <v>1168</v>
      </c>
      <c r="L38" s="323" t="s">
        <v>1175</v>
      </c>
      <c r="M38" s="323">
        <v>3</v>
      </c>
      <c r="N38" s="323" t="s">
        <v>1169</v>
      </c>
      <c r="O38" s="323" t="s">
        <v>342</v>
      </c>
      <c r="P38" s="323" t="s">
        <v>343</v>
      </c>
      <c r="Q38" s="323" t="s">
        <v>344</v>
      </c>
      <c r="R38" s="323" t="s">
        <v>271</v>
      </c>
      <c r="S38" s="323" t="s">
        <v>168</v>
      </c>
      <c r="T38" s="323" t="s">
        <v>1203</v>
      </c>
      <c r="U38" s="323" t="s">
        <v>345</v>
      </c>
      <c r="V38" s="323" t="s">
        <v>1249</v>
      </c>
      <c r="W38" s="323" t="s">
        <v>1254</v>
      </c>
      <c r="X38" s="323" t="s">
        <v>163</v>
      </c>
      <c r="Y38" s="323"/>
      <c r="Z38" s="323"/>
      <c r="AA38" s="323" t="s">
        <v>346</v>
      </c>
      <c r="AB38" s="323" t="s">
        <v>794</v>
      </c>
      <c r="AC38" s="323" t="s">
        <v>168</v>
      </c>
      <c r="AD38" s="323">
        <v>39</v>
      </c>
    </row>
    <row r="39" spans="1:30" ht="30">
      <c r="A39" s="323" t="s">
        <v>1267</v>
      </c>
      <c r="B39" s="323"/>
      <c r="C39" s="323"/>
      <c r="D39" s="323" t="s">
        <v>347</v>
      </c>
      <c r="E39" s="323"/>
      <c r="F39" s="323" t="s">
        <v>6</v>
      </c>
      <c r="G39" s="323" t="s">
        <v>793</v>
      </c>
      <c r="H39" s="323"/>
      <c r="I39" s="323" t="s">
        <v>1166</v>
      </c>
      <c r="J39" s="323"/>
      <c r="K39" s="323" t="s">
        <v>844</v>
      </c>
      <c r="L39" s="323" t="s">
        <v>1175</v>
      </c>
      <c r="M39" s="323">
        <v>2</v>
      </c>
      <c r="N39" s="323" t="s">
        <v>1169</v>
      </c>
      <c r="O39" s="323" t="s">
        <v>348</v>
      </c>
      <c r="P39" s="323" t="s">
        <v>349</v>
      </c>
      <c r="Q39" s="323"/>
      <c r="R39" s="323"/>
      <c r="S39" s="323" t="s">
        <v>168</v>
      </c>
      <c r="T39" s="323" t="s">
        <v>1203</v>
      </c>
      <c r="U39" s="323" t="s">
        <v>350</v>
      </c>
      <c r="V39" s="323"/>
      <c r="W39" s="323"/>
      <c r="X39" s="323" t="s">
        <v>182</v>
      </c>
      <c r="Y39" s="323"/>
      <c r="Z39" s="323" t="s">
        <v>171</v>
      </c>
      <c r="AA39" s="323" t="s">
        <v>346</v>
      </c>
      <c r="AB39" s="323" t="s">
        <v>794</v>
      </c>
      <c r="AC39" s="323" t="s">
        <v>802</v>
      </c>
      <c r="AD39" s="323">
        <v>40</v>
      </c>
    </row>
    <row r="40" spans="1:30" ht="30">
      <c r="A40" s="323" t="s">
        <v>1268</v>
      </c>
      <c r="B40" s="323" t="s">
        <v>1269</v>
      </c>
      <c r="C40" s="323"/>
      <c r="D40" s="323" t="s">
        <v>351</v>
      </c>
      <c r="E40" s="323" t="s">
        <v>1270</v>
      </c>
      <c r="F40" s="323" t="s">
        <v>6</v>
      </c>
      <c r="G40" s="323" t="s">
        <v>817</v>
      </c>
      <c r="H40" s="323" t="s">
        <v>817</v>
      </c>
      <c r="I40" s="323" t="s">
        <v>1166</v>
      </c>
      <c r="J40" s="323" t="s">
        <v>1222</v>
      </c>
      <c r="K40" s="323" t="s">
        <v>1168</v>
      </c>
      <c r="L40" s="323" t="s">
        <v>1223</v>
      </c>
      <c r="M40" s="323">
        <v>4</v>
      </c>
      <c r="N40" s="323" t="s">
        <v>1169</v>
      </c>
      <c r="O40" s="323" t="s">
        <v>352</v>
      </c>
      <c r="P40" s="323" t="s">
        <v>353</v>
      </c>
      <c r="Q40" s="323"/>
      <c r="R40" s="323"/>
      <c r="S40" s="323" t="s">
        <v>168</v>
      </c>
      <c r="T40" s="323" t="s">
        <v>1186</v>
      </c>
      <c r="U40" s="323" t="s">
        <v>354</v>
      </c>
      <c r="V40" s="323" t="s">
        <v>1249</v>
      </c>
      <c r="W40" s="323" t="s">
        <v>1250</v>
      </c>
      <c r="X40" s="323" t="s">
        <v>355</v>
      </c>
      <c r="Y40" s="323" t="s">
        <v>285</v>
      </c>
      <c r="Z40" s="323" t="s">
        <v>171</v>
      </c>
      <c r="AA40" s="323" t="s">
        <v>346</v>
      </c>
      <c r="AB40" s="323" t="s">
        <v>794</v>
      </c>
      <c r="AC40" s="323" t="s">
        <v>168</v>
      </c>
      <c r="AD40" s="323">
        <v>41</v>
      </c>
    </row>
    <row r="41" spans="1:30" ht="30">
      <c r="A41" s="323" t="s">
        <v>1271</v>
      </c>
      <c r="B41" s="323" t="s">
        <v>1272</v>
      </c>
      <c r="C41" s="323"/>
      <c r="D41" s="323" t="s">
        <v>356</v>
      </c>
      <c r="E41" s="323" t="s">
        <v>974</v>
      </c>
      <c r="F41" s="323" t="s">
        <v>6</v>
      </c>
      <c r="G41" s="323" t="s">
        <v>817</v>
      </c>
      <c r="H41" s="323" t="s">
        <v>817</v>
      </c>
      <c r="I41" s="323" t="s">
        <v>1166</v>
      </c>
      <c r="J41" s="323" t="s">
        <v>242</v>
      </c>
      <c r="K41" s="323" t="s">
        <v>1168</v>
      </c>
      <c r="L41" s="323" t="s">
        <v>1175</v>
      </c>
      <c r="M41" s="323">
        <v>2</v>
      </c>
      <c r="N41" s="323" t="s">
        <v>1169</v>
      </c>
      <c r="O41" s="323" t="s">
        <v>357</v>
      </c>
      <c r="P41" s="323" t="s">
        <v>358</v>
      </c>
      <c r="Q41" s="323" t="s">
        <v>359</v>
      </c>
      <c r="R41" s="323"/>
      <c r="S41" s="323" t="s">
        <v>168</v>
      </c>
      <c r="T41" s="323" t="s">
        <v>1186</v>
      </c>
      <c r="U41" s="323" t="s">
        <v>360</v>
      </c>
      <c r="V41" s="323" t="s">
        <v>1249</v>
      </c>
      <c r="W41" s="323" t="s">
        <v>1254</v>
      </c>
      <c r="X41" s="323" t="s">
        <v>182</v>
      </c>
      <c r="Y41" s="323"/>
      <c r="Z41" s="323" t="s">
        <v>171</v>
      </c>
      <c r="AA41" s="323" t="s">
        <v>346</v>
      </c>
      <c r="AB41" s="323" t="s">
        <v>794</v>
      </c>
      <c r="AC41" s="323" t="s">
        <v>168</v>
      </c>
      <c r="AD41" s="323">
        <v>42</v>
      </c>
    </row>
    <row r="42" spans="1:30" ht="30">
      <c r="A42" s="323" t="s">
        <v>1273</v>
      </c>
      <c r="B42" s="323" t="s">
        <v>1274</v>
      </c>
      <c r="C42" s="323"/>
      <c r="D42" s="323" t="s">
        <v>361</v>
      </c>
      <c r="E42" s="323" t="s">
        <v>1275</v>
      </c>
      <c r="F42" s="323" t="s">
        <v>6</v>
      </c>
      <c r="G42" s="323" t="s">
        <v>817</v>
      </c>
      <c r="H42" s="323" t="s">
        <v>817</v>
      </c>
      <c r="I42" s="323" t="s">
        <v>1166</v>
      </c>
      <c r="J42" s="323" t="s">
        <v>1185</v>
      </c>
      <c r="K42" s="323" t="s">
        <v>1168</v>
      </c>
      <c r="L42" s="323" t="s">
        <v>1223</v>
      </c>
      <c r="M42" s="323">
        <v>3</v>
      </c>
      <c r="N42" s="323" t="s">
        <v>1169</v>
      </c>
      <c r="O42" s="323" t="s">
        <v>362</v>
      </c>
      <c r="P42" s="323" t="s">
        <v>363</v>
      </c>
      <c r="Q42" s="323" t="s">
        <v>364</v>
      </c>
      <c r="R42" s="323" t="s">
        <v>365</v>
      </c>
      <c r="S42" s="323" t="s">
        <v>168</v>
      </c>
      <c r="T42" s="323" t="s">
        <v>1186</v>
      </c>
      <c r="U42" s="323" t="s">
        <v>366</v>
      </c>
      <c r="V42" s="323" t="s">
        <v>1249</v>
      </c>
      <c r="W42" s="323" t="s">
        <v>1250</v>
      </c>
      <c r="X42" s="323" t="s">
        <v>163</v>
      </c>
      <c r="Y42" s="323" t="s">
        <v>170</v>
      </c>
      <c r="Z42" s="323" t="s">
        <v>171</v>
      </c>
      <c r="AA42" s="323" t="s">
        <v>157</v>
      </c>
      <c r="AB42" s="323" t="s">
        <v>794</v>
      </c>
      <c r="AC42" s="323" t="s">
        <v>168</v>
      </c>
      <c r="AD42" s="323">
        <v>43</v>
      </c>
    </row>
    <row r="43" spans="1:30" ht="30">
      <c r="A43" s="323" t="s">
        <v>1276</v>
      </c>
      <c r="B43" s="323" t="s">
        <v>1277</v>
      </c>
      <c r="C43" s="323"/>
      <c r="D43" s="323" t="s">
        <v>367</v>
      </c>
      <c r="E43" s="323" t="s">
        <v>1278</v>
      </c>
      <c r="F43" s="323" t="s">
        <v>6</v>
      </c>
      <c r="G43" s="323" t="s">
        <v>817</v>
      </c>
      <c r="H43" s="323" t="s">
        <v>817</v>
      </c>
      <c r="I43" s="323" t="s">
        <v>1166</v>
      </c>
      <c r="J43" s="323" t="s">
        <v>1279</v>
      </c>
      <c r="K43" s="323" t="s">
        <v>1168</v>
      </c>
      <c r="L43" s="323" t="s">
        <v>1175</v>
      </c>
      <c r="M43" s="323">
        <v>1</v>
      </c>
      <c r="N43" s="323" t="s">
        <v>1169</v>
      </c>
      <c r="O43" s="323" t="s">
        <v>368</v>
      </c>
      <c r="P43" s="323" t="s">
        <v>208</v>
      </c>
      <c r="Q43" s="323" t="s">
        <v>369</v>
      </c>
      <c r="R43" s="323" t="s">
        <v>370</v>
      </c>
      <c r="S43" s="323" t="s">
        <v>168</v>
      </c>
      <c r="T43" s="323" t="s">
        <v>1203</v>
      </c>
      <c r="U43" s="323" t="s">
        <v>371</v>
      </c>
      <c r="V43" s="323" t="s">
        <v>1249</v>
      </c>
      <c r="W43" s="323" t="s">
        <v>1254</v>
      </c>
      <c r="X43" s="323" t="s">
        <v>372</v>
      </c>
      <c r="Y43" s="323"/>
      <c r="Z43" s="323" t="s">
        <v>171</v>
      </c>
      <c r="AA43" s="323"/>
      <c r="AB43" s="323" t="s">
        <v>794</v>
      </c>
      <c r="AC43" s="323" t="s">
        <v>168</v>
      </c>
      <c r="AD43" s="323">
        <v>44</v>
      </c>
    </row>
    <row r="44" spans="1:30" ht="30">
      <c r="A44" s="323" t="s">
        <v>929</v>
      </c>
      <c r="B44" s="323" t="s">
        <v>1280</v>
      </c>
      <c r="C44" s="323"/>
      <c r="D44" s="323" t="s">
        <v>373</v>
      </c>
      <c r="E44" s="323" t="s">
        <v>1281</v>
      </c>
      <c r="F44" s="323" t="s">
        <v>6</v>
      </c>
      <c r="G44" s="323" t="s">
        <v>817</v>
      </c>
      <c r="H44" s="323" t="s">
        <v>817</v>
      </c>
      <c r="I44" s="323" t="s">
        <v>1166</v>
      </c>
      <c r="J44" s="323" t="s">
        <v>242</v>
      </c>
      <c r="K44" s="323" t="s">
        <v>1168</v>
      </c>
      <c r="L44" s="323" t="s">
        <v>822</v>
      </c>
      <c r="M44" s="323">
        <v>1</v>
      </c>
      <c r="N44" s="323" t="s">
        <v>1169</v>
      </c>
      <c r="O44" s="323" t="s">
        <v>374</v>
      </c>
      <c r="P44" s="323" t="s">
        <v>375</v>
      </c>
      <c r="Q44" s="323" t="s">
        <v>376</v>
      </c>
      <c r="R44" s="323"/>
      <c r="S44" s="323"/>
      <c r="T44" s="323"/>
      <c r="U44" s="323"/>
      <c r="V44" s="323" t="s">
        <v>1249</v>
      </c>
      <c r="W44" s="323" t="s">
        <v>1250</v>
      </c>
      <c r="X44" s="323" t="s">
        <v>277</v>
      </c>
      <c r="Y44" s="323"/>
      <c r="Z44" s="323" t="s">
        <v>171</v>
      </c>
      <c r="AA44" s="323"/>
      <c r="AB44" s="323" t="s">
        <v>823</v>
      </c>
      <c r="AC44" s="323" t="s">
        <v>168</v>
      </c>
      <c r="AD44" s="323">
        <v>45</v>
      </c>
    </row>
    <row r="45" spans="1:30" ht="30">
      <c r="A45" s="323" t="s">
        <v>1282</v>
      </c>
      <c r="B45" s="323" t="s">
        <v>1283</v>
      </c>
      <c r="C45" s="323"/>
      <c r="D45" s="323" t="s">
        <v>377</v>
      </c>
      <c r="E45" s="323" t="s">
        <v>1284</v>
      </c>
      <c r="F45" s="323" t="s">
        <v>6</v>
      </c>
      <c r="G45" s="323" t="s">
        <v>817</v>
      </c>
      <c r="H45" s="323" t="s">
        <v>817</v>
      </c>
      <c r="I45" s="323" t="s">
        <v>1166</v>
      </c>
      <c r="J45" s="323" t="s">
        <v>287</v>
      </c>
      <c r="K45" s="323" t="s">
        <v>1168</v>
      </c>
      <c r="L45" s="323" t="s">
        <v>1175</v>
      </c>
      <c r="M45" s="323">
        <v>1</v>
      </c>
      <c r="N45" s="323" t="s">
        <v>1169</v>
      </c>
      <c r="O45" s="323" t="s">
        <v>378</v>
      </c>
      <c r="P45" s="323" t="s">
        <v>208</v>
      </c>
      <c r="Q45" s="323" t="s">
        <v>379</v>
      </c>
      <c r="R45" s="323"/>
      <c r="S45" s="323"/>
      <c r="T45" s="323"/>
      <c r="U45" s="323"/>
      <c r="V45" s="323" t="s">
        <v>1249</v>
      </c>
      <c r="W45" s="323" t="s">
        <v>1250</v>
      </c>
      <c r="X45" s="323" t="s">
        <v>163</v>
      </c>
      <c r="Y45" s="323"/>
      <c r="Z45" s="323" t="s">
        <v>171</v>
      </c>
      <c r="AA45" s="323"/>
      <c r="AB45" s="323" t="s">
        <v>794</v>
      </c>
      <c r="AC45" s="323" t="s">
        <v>168</v>
      </c>
      <c r="AD45" s="323">
        <v>46</v>
      </c>
    </row>
    <row r="46" spans="1:30" ht="30">
      <c r="A46" s="323" t="s">
        <v>943</v>
      </c>
      <c r="B46" s="323" t="s">
        <v>1285</v>
      </c>
      <c r="C46" s="323"/>
      <c r="D46" s="323" t="s">
        <v>380</v>
      </c>
      <c r="E46" s="323" t="s">
        <v>1286</v>
      </c>
      <c r="F46" s="323" t="s">
        <v>6</v>
      </c>
      <c r="G46" s="323" t="s">
        <v>817</v>
      </c>
      <c r="H46" s="323" t="s">
        <v>817</v>
      </c>
      <c r="I46" s="323" t="s">
        <v>1166</v>
      </c>
      <c r="J46" s="323" t="s">
        <v>287</v>
      </c>
      <c r="K46" s="323" t="s">
        <v>1168</v>
      </c>
      <c r="L46" s="323" t="s">
        <v>1175</v>
      </c>
      <c r="M46" s="323">
        <v>4</v>
      </c>
      <c r="N46" s="323" t="s">
        <v>1169</v>
      </c>
      <c r="O46" s="323" t="s">
        <v>381</v>
      </c>
      <c r="P46" s="323" t="s">
        <v>382</v>
      </c>
      <c r="Q46" s="323" t="s">
        <v>383</v>
      </c>
      <c r="R46" s="323" t="s">
        <v>384</v>
      </c>
      <c r="S46" s="323" t="s">
        <v>168</v>
      </c>
      <c r="T46" s="323" t="s">
        <v>1186</v>
      </c>
      <c r="U46" s="323" t="s">
        <v>385</v>
      </c>
      <c r="V46" s="323" t="s">
        <v>1249</v>
      </c>
      <c r="W46" s="323" t="s">
        <v>1250</v>
      </c>
      <c r="X46" s="323" t="s">
        <v>163</v>
      </c>
      <c r="Y46" s="323"/>
      <c r="Z46" s="323"/>
      <c r="AA46" s="323"/>
      <c r="AB46" s="323" t="s">
        <v>794</v>
      </c>
      <c r="AC46" s="323" t="s">
        <v>168</v>
      </c>
      <c r="AD46" s="323">
        <v>47</v>
      </c>
    </row>
    <row r="47" spans="1:30" ht="30">
      <c r="A47" s="323" t="s">
        <v>946</v>
      </c>
      <c r="B47" s="323" t="s">
        <v>1287</v>
      </c>
      <c r="C47" s="323"/>
      <c r="D47" s="323" t="s">
        <v>47</v>
      </c>
      <c r="E47" s="323" t="s">
        <v>47</v>
      </c>
      <c r="F47" s="323" t="s">
        <v>6</v>
      </c>
      <c r="G47" s="323" t="s">
        <v>817</v>
      </c>
      <c r="H47" s="323" t="s">
        <v>817</v>
      </c>
      <c r="I47" s="323" t="s">
        <v>1166</v>
      </c>
      <c r="J47" s="323" t="s">
        <v>309</v>
      </c>
      <c r="K47" s="323" t="s">
        <v>1168</v>
      </c>
      <c r="L47" s="323" t="s">
        <v>1175</v>
      </c>
      <c r="M47" s="323">
        <v>2</v>
      </c>
      <c r="N47" s="323" t="s">
        <v>1169</v>
      </c>
      <c r="O47" s="323" t="s">
        <v>386</v>
      </c>
      <c r="P47" s="323" t="s">
        <v>387</v>
      </c>
      <c r="Q47" s="323" t="s">
        <v>388</v>
      </c>
      <c r="R47" s="323" t="s">
        <v>389</v>
      </c>
      <c r="S47" s="323" t="s">
        <v>168</v>
      </c>
      <c r="T47" s="323" t="s">
        <v>1186</v>
      </c>
      <c r="U47" s="323" t="s">
        <v>390</v>
      </c>
      <c r="V47" s="323" t="s">
        <v>1249</v>
      </c>
      <c r="W47" s="323" t="s">
        <v>1250</v>
      </c>
      <c r="X47" s="323" t="s">
        <v>307</v>
      </c>
      <c r="Y47" s="323"/>
      <c r="Z47" s="323"/>
      <c r="AA47" s="323"/>
      <c r="AB47" s="323" t="s">
        <v>794</v>
      </c>
      <c r="AC47" s="323" t="s">
        <v>168</v>
      </c>
      <c r="AD47" s="323">
        <v>48</v>
      </c>
    </row>
    <row r="48" spans="1:30" ht="30">
      <c r="A48" s="323" t="s">
        <v>949</v>
      </c>
      <c r="B48" s="323" t="s">
        <v>1288</v>
      </c>
      <c r="C48" s="323"/>
      <c r="D48" s="323" t="s">
        <v>50</v>
      </c>
      <c r="E48" s="323" t="s">
        <v>1289</v>
      </c>
      <c r="F48" s="323" t="s">
        <v>6</v>
      </c>
      <c r="G48" s="323" t="s">
        <v>817</v>
      </c>
      <c r="H48" s="323" t="s">
        <v>817</v>
      </c>
      <c r="I48" s="323" t="s">
        <v>1166</v>
      </c>
      <c r="J48" s="323" t="s">
        <v>287</v>
      </c>
      <c r="K48" s="323" t="s">
        <v>1168</v>
      </c>
      <c r="L48" s="323" t="s">
        <v>1223</v>
      </c>
      <c r="M48" s="323">
        <v>2</v>
      </c>
      <c r="N48" s="323" t="s">
        <v>1169</v>
      </c>
      <c r="O48" s="323" t="s">
        <v>391</v>
      </c>
      <c r="P48" s="323" t="s">
        <v>392</v>
      </c>
      <c r="Q48" s="323" t="s">
        <v>393</v>
      </c>
      <c r="R48" s="323" t="s">
        <v>394</v>
      </c>
      <c r="S48" s="323" t="s">
        <v>168</v>
      </c>
      <c r="T48" s="323" t="s">
        <v>1186</v>
      </c>
      <c r="U48" s="323" t="s">
        <v>395</v>
      </c>
      <c r="V48" s="323" t="s">
        <v>1249</v>
      </c>
      <c r="W48" s="323" t="s">
        <v>1250</v>
      </c>
      <c r="X48" s="323" t="s">
        <v>163</v>
      </c>
      <c r="Y48" s="323" t="s">
        <v>285</v>
      </c>
      <c r="Z48" s="323"/>
      <c r="AA48" s="323" t="s">
        <v>346</v>
      </c>
      <c r="AB48" s="323" t="s">
        <v>794</v>
      </c>
      <c r="AC48" s="323" t="s">
        <v>168</v>
      </c>
      <c r="AD48" s="323">
        <v>49</v>
      </c>
    </row>
    <row r="49" spans="1:30" ht="30">
      <c r="A49" s="323" t="s">
        <v>1290</v>
      </c>
      <c r="B49" s="323"/>
      <c r="C49" s="323"/>
      <c r="D49" s="323" t="s">
        <v>396</v>
      </c>
      <c r="E49" s="323"/>
      <c r="F49" s="323" t="s">
        <v>6</v>
      </c>
      <c r="G49" s="323" t="s">
        <v>793</v>
      </c>
      <c r="H49" s="323"/>
      <c r="I49" s="323" t="s">
        <v>1166</v>
      </c>
      <c r="J49" s="323"/>
      <c r="K49" s="323" t="s">
        <v>844</v>
      </c>
      <c r="L49" s="323" t="s">
        <v>1223</v>
      </c>
      <c r="M49" s="323">
        <v>5</v>
      </c>
      <c r="N49" s="323" t="s">
        <v>1169</v>
      </c>
      <c r="O49" s="323"/>
      <c r="P49" s="323" t="s">
        <v>397</v>
      </c>
      <c r="Q49" s="323" t="s">
        <v>398</v>
      </c>
      <c r="R49" s="323"/>
      <c r="S49" s="323"/>
      <c r="T49" s="323"/>
      <c r="U49" s="323" t="s">
        <v>399</v>
      </c>
      <c r="V49" s="323"/>
      <c r="W49" s="323"/>
      <c r="X49" s="323" t="s">
        <v>163</v>
      </c>
      <c r="Y49" s="323" t="s">
        <v>285</v>
      </c>
      <c r="Z49" s="323"/>
      <c r="AA49" s="323" t="s">
        <v>346</v>
      </c>
      <c r="AB49" s="323" t="s">
        <v>794</v>
      </c>
      <c r="AC49" s="323" t="s">
        <v>802</v>
      </c>
      <c r="AD49" s="323">
        <v>50</v>
      </c>
    </row>
    <row r="50" spans="1:30" ht="30">
      <c r="A50" s="323" t="s">
        <v>1291</v>
      </c>
      <c r="B50" s="323" t="s">
        <v>1292</v>
      </c>
      <c r="C50" s="323"/>
      <c r="D50" s="323" t="s">
        <v>401</v>
      </c>
      <c r="E50" s="323" t="s">
        <v>955</v>
      </c>
      <c r="F50" s="323" t="s">
        <v>6</v>
      </c>
      <c r="G50" s="323" t="s">
        <v>817</v>
      </c>
      <c r="H50" s="323" t="s">
        <v>817</v>
      </c>
      <c r="I50" s="323" t="s">
        <v>1166</v>
      </c>
      <c r="J50" s="323" t="s">
        <v>287</v>
      </c>
      <c r="K50" s="323" t="s">
        <v>1168</v>
      </c>
      <c r="L50" s="323" t="s">
        <v>799</v>
      </c>
      <c r="M50" s="323">
        <v>3</v>
      </c>
      <c r="N50" s="323" t="s">
        <v>1169</v>
      </c>
      <c r="O50" s="323" t="s">
        <v>402</v>
      </c>
      <c r="P50" s="323" t="s">
        <v>403</v>
      </c>
      <c r="Q50" s="323" t="s">
        <v>404</v>
      </c>
      <c r="R50" s="323" t="s">
        <v>405</v>
      </c>
      <c r="S50" s="323" t="s">
        <v>168</v>
      </c>
      <c r="T50" s="323" t="s">
        <v>1186</v>
      </c>
      <c r="U50" s="323" t="s">
        <v>406</v>
      </c>
      <c r="V50" s="323" t="s">
        <v>1293</v>
      </c>
      <c r="W50" s="323" t="s">
        <v>1294</v>
      </c>
      <c r="X50" s="323" t="s">
        <v>163</v>
      </c>
      <c r="Y50" s="323"/>
      <c r="Z50" s="323"/>
      <c r="AA50" s="323" t="s">
        <v>153</v>
      </c>
      <c r="AB50" s="323" t="s">
        <v>794</v>
      </c>
      <c r="AC50" s="323" t="s">
        <v>168</v>
      </c>
      <c r="AD50" s="323">
        <v>52</v>
      </c>
    </row>
    <row r="51" spans="1:30" ht="30">
      <c r="A51" s="323" t="s">
        <v>958</v>
      </c>
      <c r="B51" s="323" t="s">
        <v>1295</v>
      </c>
      <c r="C51" s="323"/>
      <c r="D51" s="323" t="s">
        <v>407</v>
      </c>
      <c r="E51" s="323" t="s">
        <v>407</v>
      </c>
      <c r="F51" s="323" t="s">
        <v>6</v>
      </c>
      <c r="G51" s="323" t="s">
        <v>817</v>
      </c>
      <c r="H51" s="323" t="s">
        <v>817</v>
      </c>
      <c r="I51" s="323" t="s">
        <v>1166</v>
      </c>
      <c r="J51" s="323" t="s">
        <v>287</v>
      </c>
      <c r="K51" s="323" t="s">
        <v>1168</v>
      </c>
      <c r="L51" s="323" t="s">
        <v>1175</v>
      </c>
      <c r="M51" s="323">
        <v>2</v>
      </c>
      <c r="N51" s="323" t="s">
        <v>1169</v>
      </c>
      <c r="O51" s="323" t="s">
        <v>408</v>
      </c>
      <c r="P51" s="323" t="s">
        <v>409</v>
      </c>
      <c r="Q51" s="323" t="s">
        <v>410</v>
      </c>
      <c r="R51" s="323" t="s">
        <v>411</v>
      </c>
      <c r="S51" s="323" t="s">
        <v>168</v>
      </c>
      <c r="T51" s="323" t="s">
        <v>1186</v>
      </c>
      <c r="U51" s="323" t="s">
        <v>412</v>
      </c>
      <c r="V51" s="323" t="s">
        <v>1293</v>
      </c>
      <c r="W51" s="323" t="s">
        <v>1294</v>
      </c>
      <c r="X51" s="323" t="s">
        <v>163</v>
      </c>
      <c r="Y51" s="323"/>
      <c r="Z51" s="323"/>
      <c r="AA51" s="323"/>
      <c r="AB51" s="323" t="s">
        <v>794</v>
      </c>
      <c r="AC51" s="323" t="s">
        <v>168</v>
      </c>
      <c r="AD51" s="323">
        <v>53</v>
      </c>
    </row>
    <row r="52" spans="1:30" ht="30">
      <c r="A52" s="323" t="s">
        <v>1296</v>
      </c>
      <c r="B52" s="323" t="s">
        <v>1297</v>
      </c>
      <c r="C52" s="323"/>
      <c r="D52" s="323" t="s">
        <v>55</v>
      </c>
      <c r="E52" s="323" t="s">
        <v>961</v>
      </c>
      <c r="F52" s="323" t="s">
        <v>6</v>
      </c>
      <c r="G52" s="323" t="s">
        <v>817</v>
      </c>
      <c r="H52" s="323" t="s">
        <v>817</v>
      </c>
      <c r="I52" s="323" t="s">
        <v>1166</v>
      </c>
      <c r="J52" s="323" t="s">
        <v>287</v>
      </c>
      <c r="K52" s="323" t="s">
        <v>1168</v>
      </c>
      <c r="L52" s="323" t="s">
        <v>1223</v>
      </c>
      <c r="M52" s="323">
        <v>2</v>
      </c>
      <c r="N52" s="323" t="s">
        <v>1169</v>
      </c>
      <c r="O52" s="323" t="s">
        <v>413</v>
      </c>
      <c r="P52" s="323" t="s">
        <v>414</v>
      </c>
      <c r="Q52" s="323" t="s">
        <v>415</v>
      </c>
      <c r="R52" s="323" t="s">
        <v>416</v>
      </c>
      <c r="S52" s="323" t="s">
        <v>168</v>
      </c>
      <c r="T52" s="323" t="s">
        <v>1186</v>
      </c>
      <c r="U52" s="323" t="s">
        <v>417</v>
      </c>
      <c r="V52" s="323" t="s">
        <v>1293</v>
      </c>
      <c r="W52" s="323" t="s">
        <v>1294</v>
      </c>
      <c r="X52" s="323" t="s">
        <v>163</v>
      </c>
      <c r="Y52" s="323" t="s">
        <v>285</v>
      </c>
      <c r="Z52" s="323"/>
      <c r="AA52" s="323" t="s">
        <v>346</v>
      </c>
      <c r="AB52" s="323" t="s">
        <v>794</v>
      </c>
      <c r="AC52" s="323" t="s">
        <v>168</v>
      </c>
      <c r="AD52" s="323">
        <v>54</v>
      </c>
    </row>
    <row r="53" spans="1:30" ht="30">
      <c r="A53" s="323" t="s">
        <v>1298</v>
      </c>
      <c r="B53" s="323" t="s">
        <v>1299</v>
      </c>
      <c r="C53" s="323"/>
      <c r="D53" s="323" t="s">
        <v>418</v>
      </c>
      <c r="E53" s="323" t="s">
        <v>1003</v>
      </c>
      <c r="F53" s="323" t="s">
        <v>6</v>
      </c>
      <c r="G53" s="323" t="s">
        <v>817</v>
      </c>
      <c r="H53" s="323" t="s">
        <v>817</v>
      </c>
      <c r="I53" s="323" t="s">
        <v>1166</v>
      </c>
      <c r="J53" s="323" t="s">
        <v>1279</v>
      </c>
      <c r="K53" s="323" t="s">
        <v>1168</v>
      </c>
      <c r="L53" s="323" t="s">
        <v>1223</v>
      </c>
      <c r="M53" s="323">
        <v>2</v>
      </c>
      <c r="N53" s="323" t="s">
        <v>1169</v>
      </c>
      <c r="O53" s="323" t="s">
        <v>419</v>
      </c>
      <c r="P53" s="323"/>
      <c r="Q53" s="323" t="s">
        <v>420</v>
      </c>
      <c r="R53" s="323"/>
      <c r="S53" s="323" t="s">
        <v>168</v>
      </c>
      <c r="T53" s="323" t="s">
        <v>1203</v>
      </c>
      <c r="U53" s="323" t="s">
        <v>421</v>
      </c>
      <c r="V53" s="323" t="s">
        <v>1293</v>
      </c>
      <c r="W53" s="323" t="s">
        <v>1294</v>
      </c>
      <c r="X53" s="323" t="s">
        <v>422</v>
      </c>
      <c r="Y53" s="323" t="s">
        <v>285</v>
      </c>
      <c r="Z53" s="323"/>
      <c r="AA53" s="323"/>
      <c r="AB53" s="323" t="s">
        <v>794</v>
      </c>
      <c r="AC53" s="323" t="s">
        <v>168</v>
      </c>
      <c r="AD53" s="323">
        <v>55</v>
      </c>
    </row>
    <row r="54" spans="1:30" ht="30">
      <c r="A54" s="323" t="s">
        <v>1300</v>
      </c>
      <c r="B54" s="323" t="s">
        <v>1301</v>
      </c>
      <c r="C54" s="323"/>
      <c r="D54" s="323" t="s">
        <v>423</v>
      </c>
      <c r="E54" s="323" t="s">
        <v>997</v>
      </c>
      <c r="F54" s="323" t="s">
        <v>6</v>
      </c>
      <c r="G54" s="323" t="s">
        <v>817</v>
      </c>
      <c r="H54" s="323" t="s">
        <v>817</v>
      </c>
      <c r="I54" s="323" t="s">
        <v>1166</v>
      </c>
      <c r="J54" s="323" t="s">
        <v>242</v>
      </c>
      <c r="K54" s="323" t="s">
        <v>1168</v>
      </c>
      <c r="L54" s="323" t="s">
        <v>799</v>
      </c>
      <c r="M54" s="323">
        <v>2</v>
      </c>
      <c r="N54" s="323" t="s">
        <v>1169</v>
      </c>
      <c r="O54" s="323" t="s">
        <v>424</v>
      </c>
      <c r="P54" s="323"/>
      <c r="Q54" s="323" t="s">
        <v>425</v>
      </c>
      <c r="R54" s="323"/>
      <c r="S54" s="323" t="s">
        <v>168</v>
      </c>
      <c r="T54" s="323" t="s">
        <v>1203</v>
      </c>
      <c r="U54" s="323" t="s">
        <v>426</v>
      </c>
      <c r="V54" s="323" t="s">
        <v>1293</v>
      </c>
      <c r="W54" s="323" t="s">
        <v>1294</v>
      </c>
      <c r="X54" s="323" t="s">
        <v>182</v>
      </c>
      <c r="Y54" s="323" t="s">
        <v>285</v>
      </c>
      <c r="Z54" s="323"/>
      <c r="AA54" s="323" t="s">
        <v>427</v>
      </c>
      <c r="AB54" s="323" t="s">
        <v>794</v>
      </c>
      <c r="AC54" s="323" t="s">
        <v>168</v>
      </c>
      <c r="AD54" s="323">
        <v>56</v>
      </c>
    </row>
    <row r="55" spans="1:30" ht="30">
      <c r="A55" s="323" t="s">
        <v>964</v>
      </c>
      <c r="B55" s="323" t="s">
        <v>1302</v>
      </c>
      <c r="C55" s="323"/>
      <c r="D55" s="323" t="s">
        <v>429</v>
      </c>
      <c r="E55" s="323" t="s">
        <v>429</v>
      </c>
      <c r="F55" s="323" t="s">
        <v>6</v>
      </c>
      <c r="G55" s="323" t="s">
        <v>817</v>
      </c>
      <c r="H55" s="323" t="s">
        <v>817</v>
      </c>
      <c r="I55" s="323" t="s">
        <v>1166</v>
      </c>
      <c r="J55" s="323" t="s">
        <v>242</v>
      </c>
      <c r="K55" s="323" t="s">
        <v>1168</v>
      </c>
      <c r="L55" s="323" t="s">
        <v>1175</v>
      </c>
      <c r="M55" s="323">
        <v>2</v>
      </c>
      <c r="N55" s="323" t="s">
        <v>1169</v>
      </c>
      <c r="O55" s="323" t="s">
        <v>430</v>
      </c>
      <c r="P55" s="323" t="s">
        <v>431</v>
      </c>
      <c r="Q55" s="323" t="s">
        <v>432</v>
      </c>
      <c r="R55" s="323" t="s">
        <v>433</v>
      </c>
      <c r="S55" s="323" t="s">
        <v>168</v>
      </c>
      <c r="T55" s="323" t="s">
        <v>1200</v>
      </c>
      <c r="U55" s="323" t="s">
        <v>434</v>
      </c>
      <c r="V55" s="323" t="s">
        <v>1293</v>
      </c>
      <c r="W55" s="323" t="s">
        <v>1294</v>
      </c>
      <c r="X55" s="323" t="s">
        <v>182</v>
      </c>
      <c r="Y55" s="323"/>
      <c r="Z55" s="323"/>
      <c r="AA55" s="323"/>
      <c r="AB55" s="323" t="s">
        <v>794</v>
      </c>
      <c r="AC55" s="323" t="s">
        <v>168</v>
      </c>
      <c r="AD55" s="323">
        <v>57</v>
      </c>
    </row>
    <row r="56" spans="1:30" ht="30">
      <c r="A56" s="323" t="s">
        <v>1303</v>
      </c>
      <c r="B56" s="323" t="s">
        <v>1304</v>
      </c>
      <c r="C56" s="323"/>
      <c r="D56" s="323" t="s">
        <v>56</v>
      </c>
      <c r="E56" s="323" t="s">
        <v>967</v>
      </c>
      <c r="F56" s="323" t="s">
        <v>6</v>
      </c>
      <c r="G56" s="323" t="s">
        <v>817</v>
      </c>
      <c r="H56" s="323" t="s">
        <v>817</v>
      </c>
      <c r="I56" s="323" t="s">
        <v>1166</v>
      </c>
      <c r="J56" s="323" t="s">
        <v>287</v>
      </c>
      <c r="K56" s="323" t="s">
        <v>1168</v>
      </c>
      <c r="L56" s="323" t="s">
        <v>1175</v>
      </c>
      <c r="M56" s="323">
        <v>3</v>
      </c>
      <c r="N56" s="323" t="s">
        <v>1169</v>
      </c>
      <c r="O56" s="323" t="s">
        <v>435</v>
      </c>
      <c r="P56" s="323" t="s">
        <v>436</v>
      </c>
      <c r="Q56" s="323" t="s">
        <v>437</v>
      </c>
      <c r="R56" s="323" t="s">
        <v>433</v>
      </c>
      <c r="S56" s="323" t="s">
        <v>168</v>
      </c>
      <c r="T56" s="323" t="s">
        <v>1186</v>
      </c>
      <c r="U56" s="323" t="s">
        <v>438</v>
      </c>
      <c r="V56" s="323" t="s">
        <v>1293</v>
      </c>
      <c r="W56" s="323" t="s">
        <v>1294</v>
      </c>
      <c r="X56" s="323" t="s">
        <v>163</v>
      </c>
      <c r="Y56" s="323"/>
      <c r="Z56" s="323"/>
      <c r="AA56" s="323"/>
      <c r="AB56" s="323" t="s">
        <v>794</v>
      </c>
      <c r="AC56" s="323" t="s">
        <v>168</v>
      </c>
      <c r="AD56" s="323">
        <v>58</v>
      </c>
    </row>
    <row r="57" spans="1:30" ht="30">
      <c r="A57" s="323" t="s">
        <v>988</v>
      </c>
      <c r="B57" s="323" t="s">
        <v>1305</v>
      </c>
      <c r="C57" s="323"/>
      <c r="D57" s="323" t="s">
        <v>439</v>
      </c>
      <c r="E57" s="323" t="s">
        <v>439</v>
      </c>
      <c r="F57" s="323" t="s">
        <v>6</v>
      </c>
      <c r="G57" s="323" t="s">
        <v>817</v>
      </c>
      <c r="H57" s="323" t="s">
        <v>817</v>
      </c>
      <c r="I57" s="323" t="s">
        <v>1166</v>
      </c>
      <c r="J57" s="323" t="s">
        <v>287</v>
      </c>
      <c r="K57" s="323" t="s">
        <v>1168</v>
      </c>
      <c r="L57" s="323" t="s">
        <v>1175</v>
      </c>
      <c r="M57" s="323">
        <v>2</v>
      </c>
      <c r="N57" s="323" t="s">
        <v>1169</v>
      </c>
      <c r="O57" s="323" t="s">
        <v>440</v>
      </c>
      <c r="P57" s="323" t="s">
        <v>441</v>
      </c>
      <c r="Q57" s="323" t="s">
        <v>442</v>
      </c>
      <c r="R57" s="323"/>
      <c r="S57" s="323" t="s">
        <v>168</v>
      </c>
      <c r="T57" s="323" t="s">
        <v>1203</v>
      </c>
      <c r="U57" s="323" t="s">
        <v>443</v>
      </c>
      <c r="V57" s="323" t="s">
        <v>1293</v>
      </c>
      <c r="W57" s="323" t="s">
        <v>1294</v>
      </c>
      <c r="X57" s="323" t="s">
        <v>163</v>
      </c>
      <c r="Y57" s="323"/>
      <c r="Z57" s="323"/>
      <c r="AA57" s="323"/>
      <c r="AB57" s="323" t="s">
        <v>794</v>
      </c>
      <c r="AC57" s="323" t="s">
        <v>168</v>
      </c>
      <c r="AD57" s="323">
        <v>59</v>
      </c>
    </row>
    <row r="58" spans="1:30" ht="30">
      <c r="A58" s="323" t="s">
        <v>1306</v>
      </c>
      <c r="B58" s="323" t="s">
        <v>1307</v>
      </c>
      <c r="C58" s="323"/>
      <c r="D58" s="323" t="s">
        <v>444</v>
      </c>
      <c r="E58" s="323" t="s">
        <v>871</v>
      </c>
      <c r="F58" s="323" t="s">
        <v>6</v>
      </c>
      <c r="G58" s="323" t="s">
        <v>1232</v>
      </c>
      <c r="H58" s="323" t="s">
        <v>1233</v>
      </c>
      <c r="I58" s="323" t="s">
        <v>1166</v>
      </c>
      <c r="J58" s="323" t="s">
        <v>1308</v>
      </c>
      <c r="K58" s="323" t="s">
        <v>1168</v>
      </c>
      <c r="L58" s="323" t="s">
        <v>1175</v>
      </c>
      <c r="M58" s="323">
        <v>1</v>
      </c>
      <c r="N58" s="323" t="s">
        <v>1235</v>
      </c>
      <c r="O58" s="323" t="s">
        <v>445</v>
      </c>
      <c r="P58" s="323" t="s">
        <v>436</v>
      </c>
      <c r="Q58" s="323" t="s">
        <v>446</v>
      </c>
      <c r="R58" s="323" t="s">
        <v>433</v>
      </c>
      <c r="S58" s="323" t="s">
        <v>168</v>
      </c>
      <c r="T58" s="323" t="s">
        <v>1186</v>
      </c>
      <c r="U58" s="323" t="s">
        <v>438</v>
      </c>
      <c r="V58" s="323" t="s">
        <v>1293</v>
      </c>
      <c r="W58" s="323" t="s">
        <v>1294</v>
      </c>
      <c r="X58" s="323" t="s">
        <v>447</v>
      </c>
      <c r="Y58" s="323"/>
      <c r="Z58" s="323"/>
      <c r="AA58" s="323"/>
      <c r="AB58" s="323" t="s">
        <v>794</v>
      </c>
      <c r="AC58" s="323" t="s">
        <v>168</v>
      </c>
      <c r="AD58" s="323">
        <v>60</v>
      </c>
    </row>
    <row r="59" spans="1:30" ht="30">
      <c r="A59" s="323" t="s">
        <v>1309</v>
      </c>
      <c r="B59" s="323" t="s">
        <v>1310</v>
      </c>
      <c r="C59" s="323"/>
      <c r="D59" s="323" t="s">
        <v>449</v>
      </c>
      <c r="E59" s="323" t="s">
        <v>1311</v>
      </c>
      <c r="F59" s="323" t="s">
        <v>6</v>
      </c>
      <c r="G59" s="323" t="s">
        <v>817</v>
      </c>
      <c r="H59" s="323" t="s">
        <v>817</v>
      </c>
      <c r="I59" s="323" t="s">
        <v>1166</v>
      </c>
      <c r="J59" s="323" t="s">
        <v>287</v>
      </c>
      <c r="K59" s="323" t="s">
        <v>1168</v>
      </c>
      <c r="L59" s="323" t="s">
        <v>1175</v>
      </c>
      <c r="M59" s="323">
        <v>3</v>
      </c>
      <c r="N59" s="323" t="s">
        <v>1169</v>
      </c>
      <c r="O59" s="323" t="s">
        <v>450</v>
      </c>
      <c r="P59" s="323" t="s">
        <v>451</v>
      </c>
      <c r="Q59" s="323" t="s">
        <v>452</v>
      </c>
      <c r="R59" s="323" t="s">
        <v>453</v>
      </c>
      <c r="S59" s="323" t="s">
        <v>168</v>
      </c>
      <c r="T59" s="323" t="s">
        <v>1186</v>
      </c>
      <c r="U59" s="323" t="s">
        <v>454</v>
      </c>
      <c r="V59" s="323" t="s">
        <v>1312</v>
      </c>
      <c r="W59" s="323" t="s">
        <v>1313</v>
      </c>
      <c r="X59" s="323" t="s">
        <v>455</v>
      </c>
      <c r="Y59" s="323"/>
      <c r="Z59" s="323"/>
      <c r="AA59" s="323"/>
      <c r="AB59" s="323" t="s">
        <v>794</v>
      </c>
      <c r="AC59" s="323" t="s">
        <v>168</v>
      </c>
      <c r="AD59" s="323">
        <v>61</v>
      </c>
    </row>
    <row r="60" spans="1:30" ht="30">
      <c r="A60" s="323" t="s">
        <v>1314</v>
      </c>
      <c r="B60" s="323" t="s">
        <v>1315</v>
      </c>
      <c r="C60" s="323"/>
      <c r="D60" s="323" t="s">
        <v>456</v>
      </c>
      <c r="E60" s="323" t="s">
        <v>977</v>
      </c>
      <c r="F60" s="323" t="s">
        <v>6</v>
      </c>
      <c r="G60" s="323" t="s">
        <v>817</v>
      </c>
      <c r="H60" s="323" t="s">
        <v>817</v>
      </c>
      <c r="I60" s="323" t="s">
        <v>1166</v>
      </c>
      <c r="J60" s="323" t="s">
        <v>287</v>
      </c>
      <c r="K60" s="323" t="s">
        <v>1168</v>
      </c>
      <c r="L60" s="323" t="s">
        <v>1175</v>
      </c>
      <c r="M60" s="323">
        <v>5</v>
      </c>
      <c r="N60" s="323" t="s">
        <v>1169</v>
      </c>
      <c r="O60" s="323" t="s">
        <v>457</v>
      </c>
      <c r="P60" s="323" t="s">
        <v>458</v>
      </c>
      <c r="Q60" s="323" t="s">
        <v>459</v>
      </c>
      <c r="R60" s="323" t="s">
        <v>460</v>
      </c>
      <c r="S60" s="323" t="s">
        <v>168</v>
      </c>
      <c r="T60" s="323" t="s">
        <v>1186</v>
      </c>
      <c r="U60" s="323" t="s">
        <v>461</v>
      </c>
      <c r="V60" s="323" t="s">
        <v>1316</v>
      </c>
      <c r="W60" s="323" t="s">
        <v>1317</v>
      </c>
      <c r="X60" s="323" t="s">
        <v>163</v>
      </c>
      <c r="Y60" s="323"/>
      <c r="Z60" s="323"/>
      <c r="AA60" s="323"/>
      <c r="AB60" s="323" t="s">
        <v>794</v>
      </c>
      <c r="AC60" s="323" t="s">
        <v>168</v>
      </c>
      <c r="AD60" s="323">
        <v>62</v>
      </c>
    </row>
    <row r="61" spans="1:30" ht="30">
      <c r="A61" s="323" t="s">
        <v>980</v>
      </c>
      <c r="B61" s="323" t="s">
        <v>1318</v>
      </c>
      <c r="C61" s="323"/>
      <c r="D61" s="323" t="s">
        <v>58</v>
      </c>
      <c r="E61" s="323" t="s">
        <v>58</v>
      </c>
      <c r="F61" s="323" t="s">
        <v>6</v>
      </c>
      <c r="G61" s="323" t="s">
        <v>817</v>
      </c>
      <c r="H61" s="323" t="s">
        <v>817</v>
      </c>
      <c r="I61" s="323" t="s">
        <v>1166</v>
      </c>
      <c r="J61" s="323" t="s">
        <v>287</v>
      </c>
      <c r="K61" s="323" t="s">
        <v>1168</v>
      </c>
      <c r="L61" s="323" t="s">
        <v>1175</v>
      </c>
      <c r="M61" s="323">
        <v>3</v>
      </c>
      <c r="N61" s="323" t="s">
        <v>1169</v>
      </c>
      <c r="O61" s="323" t="s">
        <v>462</v>
      </c>
      <c r="P61" s="323" t="s">
        <v>463</v>
      </c>
      <c r="Q61" s="323" t="s">
        <v>464</v>
      </c>
      <c r="R61" s="323"/>
      <c r="S61" s="323" t="s">
        <v>168</v>
      </c>
      <c r="T61" s="323" t="s">
        <v>1186</v>
      </c>
      <c r="U61" s="323" t="s">
        <v>465</v>
      </c>
      <c r="V61" s="323" t="s">
        <v>1316</v>
      </c>
      <c r="W61" s="323" t="s">
        <v>1317</v>
      </c>
      <c r="X61" s="323" t="s">
        <v>315</v>
      </c>
      <c r="Y61" s="323"/>
      <c r="Z61" s="323"/>
      <c r="AA61" s="323"/>
      <c r="AB61" s="323" t="s">
        <v>794</v>
      </c>
      <c r="AC61" s="323" t="s">
        <v>168</v>
      </c>
      <c r="AD61" s="323">
        <v>63</v>
      </c>
    </row>
    <row r="62" spans="1:30" ht="30">
      <c r="A62" s="323" t="s">
        <v>1319</v>
      </c>
      <c r="B62" s="323"/>
      <c r="C62" s="323"/>
      <c r="D62" s="323" t="s">
        <v>466</v>
      </c>
      <c r="E62" s="323"/>
      <c r="F62" s="323" t="s">
        <v>6</v>
      </c>
      <c r="G62" s="323" t="s">
        <v>821</v>
      </c>
      <c r="H62" s="323"/>
      <c r="I62" s="323" t="s">
        <v>1166</v>
      </c>
      <c r="J62" s="323" t="s">
        <v>1320</v>
      </c>
      <c r="K62" s="323" t="s">
        <v>1321</v>
      </c>
      <c r="L62" s="323" t="s">
        <v>822</v>
      </c>
      <c r="M62" s="323">
        <v>1</v>
      </c>
      <c r="N62" s="323" t="s">
        <v>1235</v>
      </c>
      <c r="O62" s="323" t="s">
        <v>467</v>
      </c>
      <c r="P62" s="323" t="s">
        <v>208</v>
      </c>
      <c r="Q62" s="323" t="s">
        <v>468</v>
      </c>
      <c r="R62" s="323"/>
      <c r="S62" s="323"/>
      <c r="T62" s="323"/>
      <c r="U62" s="323"/>
      <c r="V62" s="323"/>
      <c r="W62" s="323"/>
      <c r="X62" s="323" t="s">
        <v>277</v>
      </c>
      <c r="Y62" s="323"/>
      <c r="Z62" s="323"/>
      <c r="AA62" s="323"/>
      <c r="AB62" s="323" t="s">
        <v>823</v>
      </c>
      <c r="AC62" s="323" t="s">
        <v>824</v>
      </c>
      <c r="AD62" s="323">
        <v>65</v>
      </c>
    </row>
    <row r="63" spans="1:30" ht="30">
      <c r="A63" s="323" t="s">
        <v>991</v>
      </c>
      <c r="B63" s="323" t="s">
        <v>1322</v>
      </c>
      <c r="C63" s="323"/>
      <c r="D63" s="323" t="s">
        <v>469</v>
      </c>
      <c r="E63" s="323" t="s">
        <v>1323</v>
      </c>
      <c r="F63" s="323" t="s">
        <v>6</v>
      </c>
      <c r="G63" s="323" t="s">
        <v>817</v>
      </c>
      <c r="H63" s="323" t="s">
        <v>817</v>
      </c>
      <c r="I63" s="323" t="s">
        <v>1166</v>
      </c>
      <c r="J63" s="323" t="s">
        <v>1185</v>
      </c>
      <c r="K63" s="323" t="s">
        <v>1168</v>
      </c>
      <c r="L63" s="323" t="s">
        <v>1175</v>
      </c>
      <c r="M63" s="323">
        <v>4</v>
      </c>
      <c r="N63" s="323" t="s">
        <v>1169</v>
      </c>
      <c r="O63" s="323" t="s">
        <v>470</v>
      </c>
      <c r="P63" s="323" t="s">
        <v>471</v>
      </c>
      <c r="Q63" s="323" t="s">
        <v>472</v>
      </c>
      <c r="R63" s="323"/>
      <c r="S63" s="323" t="s">
        <v>168</v>
      </c>
      <c r="T63" s="323" t="s">
        <v>1186</v>
      </c>
      <c r="U63" s="323" t="s">
        <v>473</v>
      </c>
      <c r="V63" s="323" t="s">
        <v>1316</v>
      </c>
      <c r="W63" s="323" t="s">
        <v>1317</v>
      </c>
      <c r="X63" s="323" t="s">
        <v>315</v>
      </c>
      <c r="Y63" s="323"/>
      <c r="Z63" s="323"/>
      <c r="AA63" s="323"/>
      <c r="AB63" s="323" t="s">
        <v>794</v>
      </c>
      <c r="AC63" s="323" t="s">
        <v>168</v>
      </c>
      <c r="AD63" s="323">
        <v>66</v>
      </c>
    </row>
    <row r="64" spans="1:30" ht="30">
      <c r="A64" s="323" t="s">
        <v>1324</v>
      </c>
      <c r="B64" s="323"/>
      <c r="C64" s="323"/>
      <c r="D64" s="323" t="s">
        <v>474</v>
      </c>
      <c r="E64" s="323"/>
      <c r="F64" s="323" t="s">
        <v>6</v>
      </c>
      <c r="G64" s="323" t="s">
        <v>821</v>
      </c>
      <c r="H64" s="323"/>
      <c r="I64" s="323" t="s">
        <v>1166</v>
      </c>
      <c r="J64" s="323" t="s">
        <v>1320</v>
      </c>
      <c r="K64" s="323" t="s">
        <v>1321</v>
      </c>
      <c r="L64" s="323" t="s">
        <v>822</v>
      </c>
      <c r="M64" s="323">
        <v>1</v>
      </c>
      <c r="N64" s="323" t="s">
        <v>1235</v>
      </c>
      <c r="O64" s="323" t="s">
        <v>475</v>
      </c>
      <c r="P64" s="323" t="s">
        <v>208</v>
      </c>
      <c r="Q64" s="323" t="s">
        <v>476</v>
      </c>
      <c r="R64" s="323"/>
      <c r="S64" s="323"/>
      <c r="T64" s="323"/>
      <c r="U64" s="323"/>
      <c r="V64" s="323"/>
      <c r="W64" s="323"/>
      <c r="X64" s="323" t="s">
        <v>277</v>
      </c>
      <c r="Y64" s="323"/>
      <c r="Z64" s="323"/>
      <c r="AA64" s="323"/>
      <c r="AB64" s="323" t="s">
        <v>823</v>
      </c>
      <c r="AC64" s="323" t="s">
        <v>824</v>
      </c>
      <c r="AD64" s="323">
        <v>67</v>
      </c>
    </row>
    <row r="65" spans="1:30">
      <c r="A65" s="323" t="s">
        <v>1325</v>
      </c>
      <c r="B65" s="323"/>
      <c r="C65" s="323"/>
      <c r="D65" s="323" t="s">
        <v>913</v>
      </c>
      <c r="E65" s="323"/>
      <c r="F65" s="323" t="s">
        <v>6</v>
      </c>
      <c r="G65" s="323" t="s">
        <v>793</v>
      </c>
      <c r="H65" s="323"/>
      <c r="I65" s="323" t="s">
        <v>1166</v>
      </c>
      <c r="J65" s="323"/>
      <c r="K65" s="323" t="s">
        <v>844</v>
      </c>
      <c r="L65" s="323" t="s">
        <v>1175</v>
      </c>
      <c r="M65" s="323">
        <v>2</v>
      </c>
      <c r="N65" s="323" t="s">
        <v>1169</v>
      </c>
      <c r="O65" s="323" t="s">
        <v>478</v>
      </c>
      <c r="P65" s="323"/>
      <c r="Q65" s="323" t="s">
        <v>479</v>
      </c>
      <c r="R65" s="323"/>
      <c r="S65" s="323"/>
      <c r="T65" s="323" t="s">
        <v>1203</v>
      </c>
      <c r="U65" s="323" t="s">
        <v>480</v>
      </c>
      <c r="V65" s="323"/>
      <c r="W65" s="323"/>
      <c r="X65" s="323" t="s">
        <v>481</v>
      </c>
      <c r="Y65" s="323"/>
      <c r="Z65" s="323"/>
      <c r="AA65" s="323"/>
      <c r="AB65" s="323" t="s">
        <v>794</v>
      </c>
      <c r="AC65" s="323" t="s">
        <v>802</v>
      </c>
      <c r="AD65" s="323">
        <v>68</v>
      </c>
    </row>
    <row r="66" spans="1:30">
      <c r="A66" s="323" t="s">
        <v>1326</v>
      </c>
      <c r="B66" s="323"/>
      <c r="C66" s="323"/>
      <c r="D66" s="323" t="s">
        <v>482</v>
      </c>
      <c r="E66" s="323"/>
      <c r="F66" s="323" t="s">
        <v>6</v>
      </c>
      <c r="G66" s="323" t="s">
        <v>793</v>
      </c>
      <c r="H66" s="323"/>
      <c r="I66" s="323" t="s">
        <v>1166</v>
      </c>
      <c r="J66" s="323"/>
      <c r="K66" s="323" t="s">
        <v>844</v>
      </c>
      <c r="L66" s="323" t="s">
        <v>1175</v>
      </c>
      <c r="M66" s="323">
        <v>2</v>
      </c>
      <c r="N66" s="323" t="s">
        <v>1169</v>
      </c>
      <c r="O66" s="323" t="s">
        <v>483</v>
      </c>
      <c r="P66" s="323"/>
      <c r="Q66" s="323" t="s">
        <v>484</v>
      </c>
      <c r="R66" s="323"/>
      <c r="S66" s="323" t="s">
        <v>168</v>
      </c>
      <c r="T66" s="323" t="s">
        <v>1203</v>
      </c>
      <c r="U66" s="323" t="s">
        <v>485</v>
      </c>
      <c r="V66" s="323"/>
      <c r="W66" s="323"/>
      <c r="X66" s="323"/>
      <c r="Y66" s="323"/>
      <c r="Z66" s="323"/>
      <c r="AA66" s="323"/>
      <c r="AB66" s="323" t="s">
        <v>794</v>
      </c>
      <c r="AC66" s="323" t="s">
        <v>802</v>
      </c>
      <c r="AD66" s="323">
        <v>69</v>
      </c>
    </row>
    <row r="67" spans="1:30">
      <c r="A67" s="323" t="s">
        <v>1006</v>
      </c>
      <c r="B67" s="323" t="s">
        <v>1327</v>
      </c>
      <c r="C67" s="323"/>
      <c r="D67" s="323" t="s">
        <v>65</v>
      </c>
      <c r="E67" s="323" t="s">
        <v>1328</v>
      </c>
      <c r="F67" s="323" t="s">
        <v>10</v>
      </c>
      <c r="G67" s="323" t="s">
        <v>817</v>
      </c>
      <c r="H67" s="323" t="s">
        <v>817</v>
      </c>
      <c r="I67" s="323" t="s">
        <v>1166</v>
      </c>
      <c r="J67" s="323" t="s">
        <v>1329</v>
      </c>
      <c r="K67" s="323" t="s">
        <v>1168</v>
      </c>
      <c r="L67" s="323" t="s">
        <v>1223</v>
      </c>
      <c r="M67" s="323">
        <v>9</v>
      </c>
      <c r="N67" s="323" t="s">
        <v>1169</v>
      </c>
      <c r="O67" s="323" t="s">
        <v>488</v>
      </c>
      <c r="P67" s="323"/>
      <c r="Q67" s="323" t="s">
        <v>489</v>
      </c>
      <c r="R67" s="323" t="s">
        <v>490</v>
      </c>
      <c r="S67" s="323"/>
      <c r="T67" s="323"/>
      <c r="U67" s="323"/>
      <c r="V67" s="323" t="s">
        <v>1330</v>
      </c>
      <c r="W67" s="323" t="s">
        <v>1331</v>
      </c>
      <c r="X67" s="323" t="s">
        <v>491</v>
      </c>
      <c r="Y67" s="323" t="s">
        <v>170</v>
      </c>
      <c r="Z67" s="323"/>
      <c r="AA67" s="323" t="s">
        <v>157</v>
      </c>
      <c r="AB67" s="323" t="s">
        <v>794</v>
      </c>
      <c r="AC67" s="323" t="s">
        <v>808</v>
      </c>
      <c r="AD67" s="323">
        <v>77</v>
      </c>
    </row>
    <row r="68" spans="1:30" ht="30">
      <c r="A68" s="323" t="s">
        <v>1332</v>
      </c>
      <c r="B68" s="323" t="s">
        <v>1333</v>
      </c>
      <c r="C68" s="323"/>
      <c r="D68" s="323" t="s">
        <v>492</v>
      </c>
      <c r="E68" s="323" t="s">
        <v>1334</v>
      </c>
      <c r="F68" s="323" t="s">
        <v>10</v>
      </c>
      <c r="G68" s="323" t="s">
        <v>817</v>
      </c>
      <c r="H68" s="323" t="s">
        <v>817</v>
      </c>
      <c r="I68" s="323" t="s">
        <v>1166</v>
      </c>
      <c r="J68" s="323" t="s">
        <v>242</v>
      </c>
      <c r="K68" s="323" t="s">
        <v>1168</v>
      </c>
      <c r="L68" s="323" t="s">
        <v>1223</v>
      </c>
      <c r="M68" s="323">
        <v>3</v>
      </c>
      <c r="N68" s="323" t="s">
        <v>1169</v>
      </c>
      <c r="O68" s="323" t="s">
        <v>493</v>
      </c>
      <c r="P68" s="323" t="s">
        <v>494</v>
      </c>
      <c r="Q68" s="323" t="s">
        <v>495</v>
      </c>
      <c r="R68" s="323" t="s">
        <v>496</v>
      </c>
      <c r="S68" s="323"/>
      <c r="T68" s="323" t="s">
        <v>1203</v>
      </c>
      <c r="U68" s="323" t="s">
        <v>497</v>
      </c>
      <c r="V68" s="323" t="s">
        <v>1330</v>
      </c>
      <c r="W68" s="323" t="s">
        <v>1331</v>
      </c>
      <c r="X68" s="323" t="s">
        <v>355</v>
      </c>
      <c r="Y68" s="323" t="s">
        <v>285</v>
      </c>
      <c r="Z68" s="323"/>
      <c r="AA68" s="323" t="s">
        <v>229</v>
      </c>
      <c r="AB68" s="323" t="s">
        <v>794</v>
      </c>
      <c r="AC68" s="323" t="s">
        <v>168</v>
      </c>
      <c r="AD68" s="323">
        <v>78</v>
      </c>
    </row>
    <row r="69" spans="1:30">
      <c r="A69" s="323" t="s">
        <v>1335</v>
      </c>
      <c r="B69" s="323" t="s">
        <v>1336</v>
      </c>
      <c r="C69" s="323"/>
      <c r="D69" s="323" t="s">
        <v>68</v>
      </c>
      <c r="E69" s="323" t="s">
        <v>68</v>
      </c>
      <c r="F69" s="323" t="s">
        <v>14</v>
      </c>
      <c r="G69" s="323" t="s">
        <v>1337</v>
      </c>
      <c r="H69" s="323" t="s">
        <v>1338</v>
      </c>
      <c r="I69" s="323" t="s">
        <v>1166</v>
      </c>
      <c r="J69" s="323" t="s">
        <v>1339</v>
      </c>
      <c r="K69" s="323" t="s">
        <v>1168</v>
      </c>
      <c r="L69" s="323" t="s">
        <v>1223</v>
      </c>
      <c r="M69" s="323">
        <v>8</v>
      </c>
      <c r="N69" s="323" t="s">
        <v>1169</v>
      </c>
      <c r="O69" s="323" t="s">
        <v>500</v>
      </c>
      <c r="P69" s="323"/>
      <c r="Q69" s="323"/>
      <c r="R69" s="323" t="s">
        <v>501</v>
      </c>
      <c r="S69" s="323"/>
      <c r="T69" s="323"/>
      <c r="U69" s="323"/>
      <c r="V69" s="323" t="s">
        <v>1340</v>
      </c>
      <c r="W69" s="323" t="s">
        <v>1341</v>
      </c>
      <c r="X69" s="323" t="s">
        <v>502</v>
      </c>
      <c r="Y69" s="323" t="s">
        <v>170</v>
      </c>
      <c r="Z69" s="323" t="s">
        <v>171</v>
      </c>
      <c r="AA69" s="323" t="s">
        <v>157</v>
      </c>
      <c r="AB69" s="323" t="s">
        <v>794</v>
      </c>
      <c r="AC69" s="323" t="s">
        <v>808</v>
      </c>
      <c r="AD69" s="323">
        <v>80</v>
      </c>
    </row>
    <row r="70" spans="1:30">
      <c r="A70" s="323" t="s">
        <v>1342</v>
      </c>
      <c r="B70" s="323" t="s">
        <v>1343</v>
      </c>
      <c r="C70" s="323"/>
      <c r="D70" s="323" t="s">
        <v>503</v>
      </c>
      <c r="E70" s="323" t="s">
        <v>1344</v>
      </c>
      <c r="F70" s="323" t="s">
        <v>14</v>
      </c>
      <c r="G70" s="323" t="s">
        <v>817</v>
      </c>
      <c r="H70" s="323" t="s">
        <v>817</v>
      </c>
      <c r="I70" s="323" t="s">
        <v>1166</v>
      </c>
      <c r="J70" s="323" t="s">
        <v>1185</v>
      </c>
      <c r="K70" s="323" t="s">
        <v>1168</v>
      </c>
      <c r="L70" s="323" t="s">
        <v>1175</v>
      </c>
      <c r="M70" s="323">
        <v>3</v>
      </c>
      <c r="N70" s="323" t="s">
        <v>1169</v>
      </c>
      <c r="O70" s="323" t="s">
        <v>504</v>
      </c>
      <c r="P70" s="323"/>
      <c r="Q70" s="323" t="s">
        <v>505</v>
      </c>
      <c r="R70" s="323"/>
      <c r="S70" s="323"/>
      <c r="T70" s="323"/>
      <c r="U70" s="323"/>
      <c r="V70" s="323" t="s">
        <v>1340</v>
      </c>
      <c r="W70" s="323" t="s">
        <v>1341</v>
      </c>
      <c r="X70" s="323" t="s">
        <v>315</v>
      </c>
      <c r="Y70" s="323"/>
      <c r="Z70" s="323" t="s">
        <v>171</v>
      </c>
      <c r="AA70" s="323"/>
      <c r="AB70" s="323" t="s">
        <v>794</v>
      </c>
      <c r="AC70" s="323" t="s">
        <v>808</v>
      </c>
      <c r="AD70" s="323">
        <v>81</v>
      </c>
    </row>
    <row r="71" spans="1:30" ht="30">
      <c r="A71" s="323" t="s">
        <v>1046</v>
      </c>
      <c r="B71" s="323" t="s">
        <v>1345</v>
      </c>
      <c r="C71" s="323"/>
      <c r="D71" s="323" t="s">
        <v>506</v>
      </c>
      <c r="E71" s="323" t="s">
        <v>1346</v>
      </c>
      <c r="F71" s="323" t="s">
        <v>14</v>
      </c>
      <c r="G71" s="323" t="s">
        <v>821</v>
      </c>
      <c r="H71" s="323" t="s">
        <v>1233</v>
      </c>
      <c r="I71" s="323" t="s">
        <v>1166</v>
      </c>
      <c r="J71" s="323" t="s">
        <v>1241</v>
      </c>
      <c r="K71" s="323" t="s">
        <v>1168</v>
      </c>
      <c r="L71" s="323" t="s">
        <v>822</v>
      </c>
      <c r="M71" s="323">
        <v>1</v>
      </c>
      <c r="N71" s="323" t="s">
        <v>1235</v>
      </c>
      <c r="O71" s="323" t="s">
        <v>507</v>
      </c>
      <c r="P71" s="323"/>
      <c r="Q71" s="323" t="s">
        <v>508</v>
      </c>
      <c r="R71" s="323"/>
      <c r="S71" s="323"/>
      <c r="T71" s="323"/>
      <c r="U71" s="323"/>
      <c r="V71" s="323" t="s">
        <v>1340</v>
      </c>
      <c r="W71" s="323" t="s">
        <v>1341</v>
      </c>
      <c r="X71" s="323" t="s">
        <v>277</v>
      </c>
      <c r="Y71" s="323"/>
      <c r="Z71" s="323"/>
      <c r="AA71" s="323"/>
      <c r="AB71" s="323" t="s">
        <v>823</v>
      </c>
      <c r="AC71" s="323" t="s">
        <v>168</v>
      </c>
      <c r="AD71" s="323">
        <v>82</v>
      </c>
    </row>
    <row r="72" spans="1:30" ht="30">
      <c r="A72" s="323" t="s">
        <v>1347</v>
      </c>
      <c r="B72" s="323"/>
      <c r="C72" s="323"/>
      <c r="D72" s="323" t="s">
        <v>509</v>
      </c>
      <c r="E72" s="323"/>
      <c r="F72" s="323" t="s">
        <v>14</v>
      </c>
      <c r="G72" s="323" t="s">
        <v>798</v>
      </c>
      <c r="H72" s="323"/>
      <c r="I72" s="323" t="s">
        <v>1166</v>
      </c>
      <c r="J72" s="323"/>
      <c r="K72" s="323" t="s">
        <v>844</v>
      </c>
      <c r="L72" s="323" t="s">
        <v>1175</v>
      </c>
      <c r="M72" s="323">
        <v>1</v>
      </c>
      <c r="N72" s="323" t="s">
        <v>1235</v>
      </c>
      <c r="O72" s="323"/>
      <c r="P72" s="323"/>
      <c r="Q72" s="323" t="s">
        <v>510</v>
      </c>
      <c r="R72" s="323"/>
      <c r="S72" s="323"/>
      <c r="T72" s="323" t="s">
        <v>1186</v>
      </c>
      <c r="U72" s="323"/>
      <c r="V72" s="323"/>
      <c r="W72" s="323"/>
      <c r="X72" s="323" t="s">
        <v>511</v>
      </c>
      <c r="Y72" s="323"/>
      <c r="Z72" s="323"/>
      <c r="AA72" s="323"/>
      <c r="AB72" s="323" t="s">
        <v>794</v>
      </c>
      <c r="AC72" s="323" t="s">
        <v>802</v>
      </c>
      <c r="AD72" s="323">
        <v>83</v>
      </c>
    </row>
    <row r="73" spans="1:30">
      <c r="A73" s="323" t="s">
        <v>1049</v>
      </c>
      <c r="B73" s="323" t="s">
        <v>1348</v>
      </c>
      <c r="C73" s="323"/>
      <c r="D73" s="323" t="s">
        <v>512</v>
      </c>
      <c r="E73" s="323" t="s">
        <v>512</v>
      </c>
      <c r="F73" s="323" t="s">
        <v>14</v>
      </c>
      <c r="G73" s="323" t="s">
        <v>817</v>
      </c>
      <c r="H73" s="323" t="s">
        <v>817</v>
      </c>
      <c r="I73" s="323" t="s">
        <v>1166</v>
      </c>
      <c r="J73" s="323" t="s">
        <v>287</v>
      </c>
      <c r="K73" s="323" t="s">
        <v>1168</v>
      </c>
      <c r="L73" s="323" t="s">
        <v>1223</v>
      </c>
      <c r="M73" s="323">
        <v>2</v>
      </c>
      <c r="N73" s="323" t="s">
        <v>1169</v>
      </c>
      <c r="O73" s="323" t="s">
        <v>513</v>
      </c>
      <c r="P73" s="323"/>
      <c r="Q73" s="323" t="s">
        <v>514</v>
      </c>
      <c r="R73" s="323"/>
      <c r="S73" s="323"/>
      <c r="T73" s="323"/>
      <c r="U73" s="323"/>
      <c r="V73" s="323" t="s">
        <v>1340</v>
      </c>
      <c r="W73" s="323" t="s">
        <v>1341</v>
      </c>
      <c r="X73" s="323" t="s">
        <v>315</v>
      </c>
      <c r="Y73" s="323" t="s">
        <v>285</v>
      </c>
      <c r="Z73" s="323"/>
      <c r="AA73" s="323" t="s">
        <v>229</v>
      </c>
      <c r="AB73" s="323" t="s">
        <v>794</v>
      </c>
      <c r="AC73" s="323" t="s">
        <v>808</v>
      </c>
      <c r="AD73" s="323">
        <v>84</v>
      </c>
    </row>
    <row r="74" spans="1:30" ht="30">
      <c r="A74" s="323" t="s">
        <v>1349</v>
      </c>
      <c r="B74" s="323"/>
      <c r="C74" s="323"/>
      <c r="D74" s="323" t="s">
        <v>517</v>
      </c>
      <c r="E74" s="323"/>
      <c r="F74" s="323" t="s">
        <v>18</v>
      </c>
      <c r="G74" s="323" t="s">
        <v>793</v>
      </c>
      <c r="H74" s="323"/>
      <c r="I74" s="323" t="s">
        <v>1166</v>
      </c>
      <c r="J74" s="323"/>
      <c r="K74" s="323" t="s">
        <v>844</v>
      </c>
      <c r="L74" s="323" t="s">
        <v>1223</v>
      </c>
      <c r="M74" s="323">
        <v>17</v>
      </c>
      <c r="N74" s="323" t="s">
        <v>1169</v>
      </c>
      <c r="O74" s="323" t="s">
        <v>518</v>
      </c>
      <c r="P74" s="323"/>
      <c r="Q74" s="323" t="s">
        <v>519</v>
      </c>
      <c r="R74" s="323" t="s">
        <v>520</v>
      </c>
      <c r="S74" s="323"/>
      <c r="T74" s="323"/>
      <c r="U74" s="323"/>
      <c r="V74" s="323"/>
      <c r="W74" s="323"/>
      <c r="X74" s="323" t="s">
        <v>521</v>
      </c>
      <c r="Y74" s="323" t="s">
        <v>170</v>
      </c>
      <c r="Z74" s="323"/>
      <c r="AA74" s="323" t="s">
        <v>157</v>
      </c>
      <c r="AB74" s="323" t="s">
        <v>794</v>
      </c>
      <c r="AC74" s="323" t="s">
        <v>1177</v>
      </c>
      <c r="AD74" s="323">
        <v>86</v>
      </c>
    </row>
    <row r="75" spans="1:30">
      <c r="A75" s="323" t="s">
        <v>1350</v>
      </c>
      <c r="B75" s="323" t="s">
        <v>1351</v>
      </c>
      <c r="C75" s="323"/>
      <c r="D75" s="323" t="s">
        <v>522</v>
      </c>
      <c r="E75" s="323" t="s">
        <v>1352</v>
      </c>
      <c r="F75" s="323" t="s">
        <v>18</v>
      </c>
      <c r="G75" s="323" t="s">
        <v>817</v>
      </c>
      <c r="H75" s="323" t="s">
        <v>817</v>
      </c>
      <c r="I75" s="323" t="s">
        <v>1166</v>
      </c>
      <c r="J75" s="323" t="s">
        <v>287</v>
      </c>
      <c r="K75" s="323" t="s">
        <v>1168</v>
      </c>
      <c r="L75" s="323" t="s">
        <v>1175</v>
      </c>
      <c r="M75" s="323">
        <v>5</v>
      </c>
      <c r="N75" s="323" t="s">
        <v>1169</v>
      </c>
      <c r="O75" s="323" t="s">
        <v>523</v>
      </c>
      <c r="P75" s="323"/>
      <c r="Q75" s="323" t="s">
        <v>524</v>
      </c>
      <c r="R75" s="323" t="s">
        <v>525</v>
      </c>
      <c r="S75" s="323"/>
      <c r="T75" s="323"/>
      <c r="U75" s="323"/>
      <c r="V75" s="323" t="s">
        <v>1353</v>
      </c>
      <c r="W75" s="323" t="s">
        <v>1354</v>
      </c>
      <c r="X75" s="323" t="s">
        <v>315</v>
      </c>
      <c r="Y75" s="323"/>
      <c r="Z75" s="323" t="s">
        <v>171</v>
      </c>
      <c r="AA75" s="323"/>
      <c r="AB75" s="323" t="s">
        <v>794</v>
      </c>
      <c r="AC75" s="323" t="s">
        <v>808</v>
      </c>
      <c r="AD75" s="323">
        <v>87</v>
      </c>
    </row>
    <row r="76" spans="1:30">
      <c r="A76" s="323" t="s">
        <v>1355</v>
      </c>
      <c r="B76" s="323" t="s">
        <v>1356</v>
      </c>
      <c r="C76" s="323"/>
      <c r="D76" s="323" t="s">
        <v>526</v>
      </c>
      <c r="E76" s="323" t="s">
        <v>1357</v>
      </c>
      <c r="F76" s="323" t="s">
        <v>18</v>
      </c>
      <c r="G76" s="323" t="s">
        <v>817</v>
      </c>
      <c r="H76" s="323" t="s">
        <v>817</v>
      </c>
      <c r="I76" s="323" t="s">
        <v>1166</v>
      </c>
      <c r="J76" s="323" t="s">
        <v>287</v>
      </c>
      <c r="K76" s="323" t="s">
        <v>1168</v>
      </c>
      <c r="L76" s="323" t="s">
        <v>1175</v>
      </c>
      <c r="M76" s="323">
        <v>3</v>
      </c>
      <c r="N76" s="323" t="s">
        <v>1169</v>
      </c>
      <c r="O76" s="323" t="s">
        <v>527</v>
      </c>
      <c r="P76" s="323"/>
      <c r="Q76" s="323" t="s">
        <v>528</v>
      </c>
      <c r="R76" s="323"/>
      <c r="S76" s="323"/>
      <c r="T76" s="323"/>
      <c r="U76" s="323"/>
      <c r="V76" s="323" t="s">
        <v>1353</v>
      </c>
      <c r="W76" s="323" t="s">
        <v>1354</v>
      </c>
      <c r="X76" s="323" t="s">
        <v>529</v>
      </c>
      <c r="Y76" s="323"/>
      <c r="Z76" s="323" t="s">
        <v>171</v>
      </c>
      <c r="AA76" s="323"/>
      <c r="AB76" s="323" t="s">
        <v>794</v>
      </c>
      <c r="AC76" s="323" t="s">
        <v>808</v>
      </c>
      <c r="AD76" s="323">
        <v>88</v>
      </c>
    </row>
    <row r="77" spans="1:30">
      <c r="A77" s="323" t="s">
        <v>1358</v>
      </c>
      <c r="B77" s="323" t="s">
        <v>1359</v>
      </c>
      <c r="C77" s="323"/>
      <c r="D77" s="323" t="s">
        <v>530</v>
      </c>
      <c r="E77" s="323" t="s">
        <v>1360</v>
      </c>
      <c r="F77" s="323" t="s">
        <v>18</v>
      </c>
      <c r="G77" s="323" t="s">
        <v>817</v>
      </c>
      <c r="H77" s="323" t="s">
        <v>817</v>
      </c>
      <c r="I77" s="323" t="s">
        <v>1166</v>
      </c>
      <c r="J77" s="323" t="s">
        <v>1329</v>
      </c>
      <c r="K77" s="323" t="s">
        <v>1168</v>
      </c>
      <c r="L77" s="323" t="s">
        <v>1175</v>
      </c>
      <c r="M77" s="323">
        <v>8</v>
      </c>
      <c r="N77" s="323" t="s">
        <v>1169</v>
      </c>
      <c r="O77" s="323" t="s">
        <v>531</v>
      </c>
      <c r="P77" s="323"/>
      <c r="Q77" s="323" t="s">
        <v>532</v>
      </c>
      <c r="R77" s="323"/>
      <c r="S77" s="323"/>
      <c r="T77" s="323"/>
      <c r="U77" s="323"/>
      <c r="V77" s="323" t="s">
        <v>1353</v>
      </c>
      <c r="W77" s="323" t="s">
        <v>1354</v>
      </c>
      <c r="X77" s="323" t="s">
        <v>315</v>
      </c>
      <c r="Y77" s="323"/>
      <c r="Z77" s="323" t="s">
        <v>171</v>
      </c>
      <c r="AA77" s="323"/>
      <c r="AB77" s="323" t="s">
        <v>794</v>
      </c>
      <c r="AC77" s="323" t="s">
        <v>808</v>
      </c>
      <c r="AD77" s="323">
        <v>89</v>
      </c>
    </row>
    <row r="78" spans="1:30">
      <c r="A78" s="323" t="s">
        <v>1361</v>
      </c>
      <c r="B78" s="323" t="s">
        <v>1362</v>
      </c>
      <c r="C78" s="323"/>
      <c r="D78" s="323" t="s">
        <v>533</v>
      </c>
      <c r="E78" s="323" t="s">
        <v>533</v>
      </c>
      <c r="F78" s="323" t="s">
        <v>18</v>
      </c>
      <c r="G78" s="323" t="s">
        <v>817</v>
      </c>
      <c r="H78" s="323" t="s">
        <v>817</v>
      </c>
      <c r="I78" s="323" t="s">
        <v>1166</v>
      </c>
      <c r="J78" s="323" t="s">
        <v>1230</v>
      </c>
      <c r="K78" s="323" t="s">
        <v>1168</v>
      </c>
      <c r="L78" s="323" t="s">
        <v>799</v>
      </c>
      <c r="M78" s="323">
        <v>4</v>
      </c>
      <c r="N78" s="323" t="s">
        <v>1169</v>
      </c>
      <c r="O78" s="323" t="s">
        <v>534</v>
      </c>
      <c r="P78" s="323" t="s">
        <v>535</v>
      </c>
      <c r="Q78" s="323" t="s">
        <v>536</v>
      </c>
      <c r="R78" s="323"/>
      <c r="S78" s="323"/>
      <c r="T78" s="323"/>
      <c r="U78" s="323" t="s">
        <v>537</v>
      </c>
      <c r="V78" s="323" t="s">
        <v>1353</v>
      </c>
      <c r="W78" s="323" t="s">
        <v>1354</v>
      </c>
      <c r="X78" s="323"/>
      <c r="Y78" s="323"/>
      <c r="Z78" s="323"/>
      <c r="AA78" s="323" t="s">
        <v>153</v>
      </c>
      <c r="AB78" s="323" t="s">
        <v>794</v>
      </c>
      <c r="AC78" s="323" t="s">
        <v>168</v>
      </c>
      <c r="AD78" s="323">
        <v>90</v>
      </c>
    </row>
    <row r="79" spans="1:30">
      <c r="A79" s="323" t="s">
        <v>1080</v>
      </c>
      <c r="B79" s="323" t="s">
        <v>1363</v>
      </c>
      <c r="C79" s="323"/>
      <c r="D79" s="323" t="s">
        <v>1364</v>
      </c>
      <c r="E79" s="323" t="s">
        <v>1365</v>
      </c>
      <c r="F79" s="323" t="s">
        <v>18</v>
      </c>
      <c r="G79" s="323" t="s">
        <v>817</v>
      </c>
      <c r="H79" s="323" t="s">
        <v>817</v>
      </c>
      <c r="I79" s="323" t="s">
        <v>1166</v>
      </c>
      <c r="J79" s="323" t="s">
        <v>287</v>
      </c>
      <c r="K79" s="323" t="s">
        <v>1168</v>
      </c>
      <c r="L79" s="323" t="s">
        <v>799</v>
      </c>
      <c r="M79" s="323">
        <v>3</v>
      </c>
      <c r="N79" s="323" t="s">
        <v>1169</v>
      </c>
      <c r="O79" s="323" t="s">
        <v>539</v>
      </c>
      <c r="P79" s="323" t="s">
        <v>540</v>
      </c>
      <c r="Q79" s="323" t="s">
        <v>541</v>
      </c>
      <c r="R79" s="323"/>
      <c r="S79" s="323"/>
      <c r="T79" s="323"/>
      <c r="U79" s="323" t="s">
        <v>542</v>
      </c>
      <c r="V79" s="323" t="s">
        <v>1353</v>
      </c>
      <c r="W79" s="323" t="s">
        <v>1354</v>
      </c>
      <c r="X79" s="323" t="s">
        <v>286</v>
      </c>
      <c r="Y79" s="323"/>
      <c r="Z79" s="323"/>
      <c r="AA79" s="323" t="s">
        <v>153</v>
      </c>
      <c r="AB79" s="323" t="s">
        <v>794</v>
      </c>
      <c r="AC79" s="323" t="s">
        <v>168</v>
      </c>
      <c r="AD79" s="323">
        <v>91</v>
      </c>
    </row>
    <row r="80" spans="1:30">
      <c r="A80" s="323" t="s">
        <v>1366</v>
      </c>
      <c r="B80" s="323" t="s">
        <v>1367</v>
      </c>
      <c r="C80" s="323"/>
      <c r="D80" s="323" t="s">
        <v>543</v>
      </c>
      <c r="E80" s="323" t="s">
        <v>1092</v>
      </c>
      <c r="F80" s="323" t="s">
        <v>18</v>
      </c>
      <c r="G80" s="323" t="s">
        <v>1232</v>
      </c>
      <c r="H80" s="323" t="s">
        <v>1233</v>
      </c>
      <c r="I80" s="323" t="s">
        <v>1166</v>
      </c>
      <c r="J80" s="323" t="s">
        <v>1368</v>
      </c>
      <c r="K80" s="323" t="s">
        <v>1168</v>
      </c>
      <c r="L80" s="323" t="s">
        <v>799</v>
      </c>
      <c r="M80" s="323">
        <v>1</v>
      </c>
      <c r="N80" s="323" t="s">
        <v>1235</v>
      </c>
      <c r="O80" s="323" t="s">
        <v>544</v>
      </c>
      <c r="P80" s="323"/>
      <c r="Q80" s="323"/>
      <c r="R80" s="323"/>
      <c r="S80" s="323"/>
      <c r="T80" s="323"/>
      <c r="U80" s="323"/>
      <c r="V80" s="323" t="s">
        <v>1353</v>
      </c>
      <c r="W80" s="323" t="s">
        <v>1354</v>
      </c>
      <c r="X80" s="323" t="s">
        <v>545</v>
      </c>
      <c r="Y80" s="323"/>
      <c r="Z80" s="323"/>
      <c r="AA80" s="323" t="s">
        <v>153</v>
      </c>
      <c r="AB80" s="323" t="s">
        <v>794</v>
      </c>
      <c r="AC80" s="323" t="s">
        <v>168</v>
      </c>
      <c r="AD80" s="323">
        <v>92</v>
      </c>
    </row>
    <row r="81" spans="1:30" ht="30">
      <c r="A81" s="323" t="s">
        <v>1369</v>
      </c>
      <c r="B81" s="323"/>
      <c r="C81" s="323"/>
      <c r="D81" s="323" t="s">
        <v>548</v>
      </c>
      <c r="E81" s="323"/>
      <c r="F81" s="323" t="s">
        <v>21</v>
      </c>
      <c r="G81" s="323" t="s">
        <v>793</v>
      </c>
      <c r="H81" s="323"/>
      <c r="I81" s="323" t="s">
        <v>1166</v>
      </c>
      <c r="J81" s="323"/>
      <c r="K81" s="323" t="s">
        <v>844</v>
      </c>
      <c r="L81" s="323" t="s">
        <v>1223</v>
      </c>
      <c r="M81" s="323">
        <v>14</v>
      </c>
      <c r="N81" s="323" t="s">
        <v>1169</v>
      </c>
      <c r="O81" s="323" t="s">
        <v>549</v>
      </c>
      <c r="P81" s="323"/>
      <c r="Q81" s="323"/>
      <c r="R81" s="323" t="s">
        <v>550</v>
      </c>
      <c r="S81" s="323"/>
      <c r="T81" s="323"/>
      <c r="U81" s="323"/>
      <c r="V81" s="323"/>
      <c r="W81" s="323"/>
      <c r="X81" s="323" t="s">
        <v>551</v>
      </c>
      <c r="Y81" s="323" t="s">
        <v>170</v>
      </c>
      <c r="Z81" s="323" t="s">
        <v>171</v>
      </c>
      <c r="AA81" s="323" t="s">
        <v>157</v>
      </c>
      <c r="AB81" s="323" t="s">
        <v>794</v>
      </c>
      <c r="AC81" s="323" t="s">
        <v>1177</v>
      </c>
      <c r="AD81" s="323">
        <v>94</v>
      </c>
    </row>
    <row r="82" spans="1:30">
      <c r="A82" s="323" t="s">
        <v>1370</v>
      </c>
      <c r="B82" s="323" t="s">
        <v>1371</v>
      </c>
      <c r="C82" s="323"/>
      <c r="D82" s="323" t="s">
        <v>552</v>
      </c>
      <c r="E82" s="323" t="s">
        <v>552</v>
      </c>
      <c r="F82" s="323" t="s">
        <v>21</v>
      </c>
      <c r="G82" s="323" t="s">
        <v>817</v>
      </c>
      <c r="H82" s="323" t="s">
        <v>817</v>
      </c>
      <c r="I82" s="323" t="s">
        <v>1166</v>
      </c>
      <c r="J82" s="323" t="s">
        <v>287</v>
      </c>
      <c r="K82" s="323" t="s">
        <v>1168</v>
      </c>
      <c r="L82" s="323" t="s">
        <v>799</v>
      </c>
      <c r="M82" s="323">
        <v>3</v>
      </c>
      <c r="N82" s="323" t="s">
        <v>1169</v>
      </c>
      <c r="O82" s="323" t="s">
        <v>553</v>
      </c>
      <c r="P82" s="323" t="s">
        <v>554</v>
      </c>
      <c r="Q82" s="323" t="s">
        <v>555</v>
      </c>
      <c r="R82" s="323" t="s">
        <v>556</v>
      </c>
      <c r="S82" s="323" t="s">
        <v>168</v>
      </c>
      <c r="T82" s="323" t="s">
        <v>1186</v>
      </c>
      <c r="U82" s="323" t="s">
        <v>557</v>
      </c>
      <c r="V82" s="323" t="s">
        <v>1372</v>
      </c>
      <c r="W82" s="323" t="s">
        <v>1373</v>
      </c>
      <c r="X82" s="323" t="s">
        <v>455</v>
      </c>
      <c r="Y82" s="323"/>
      <c r="Z82" s="323" t="s">
        <v>171</v>
      </c>
      <c r="AA82" s="323" t="s">
        <v>153</v>
      </c>
      <c r="AB82" s="323" t="s">
        <v>794</v>
      </c>
      <c r="AC82" s="323" t="s">
        <v>168</v>
      </c>
      <c r="AD82" s="323">
        <v>95</v>
      </c>
    </row>
    <row r="83" spans="1:30">
      <c r="A83" s="323" t="s">
        <v>1374</v>
      </c>
      <c r="B83" s="323"/>
      <c r="C83" s="323"/>
      <c r="D83" s="323" t="s">
        <v>558</v>
      </c>
      <c r="E83" s="323"/>
      <c r="F83" s="323" t="s">
        <v>21</v>
      </c>
      <c r="G83" s="323" t="s">
        <v>793</v>
      </c>
      <c r="H83" s="323"/>
      <c r="I83" s="323" t="s">
        <v>1166</v>
      </c>
      <c r="J83" s="323"/>
      <c r="K83" s="323" t="s">
        <v>844</v>
      </c>
      <c r="L83" s="323" t="s">
        <v>1175</v>
      </c>
      <c r="M83" s="323">
        <v>0</v>
      </c>
      <c r="N83" s="323" t="s">
        <v>1169</v>
      </c>
      <c r="O83" s="323" t="s">
        <v>559</v>
      </c>
      <c r="P83" s="323" t="s">
        <v>560</v>
      </c>
      <c r="Q83" s="323" t="s">
        <v>561</v>
      </c>
      <c r="R83" s="323" t="s">
        <v>562</v>
      </c>
      <c r="S83" s="323" t="s">
        <v>168</v>
      </c>
      <c r="T83" s="323" t="s">
        <v>1186</v>
      </c>
      <c r="U83" s="323" t="s">
        <v>563</v>
      </c>
      <c r="V83" s="323"/>
      <c r="W83" s="323"/>
      <c r="X83" s="323"/>
      <c r="Y83" s="323"/>
      <c r="Z83" s="323"/>
      <c r="AA83" s="323"/>
      <c r="AB83" s="323" t="s">
        <v>794</v>
      </c>
      <c r="AC83" s="323" t="s">
        <v>802</v>
      </c>
      <c r="AD83" s="323">
        <v>96</v>
      </c>
    </row>
    <row r="84" spans="1:30">
      <c r="A84" s="323" t="s">
        <v>1375</v>
      </c>
      <c r="B84" s="323" t="s">
        <v>1376</v>
      </c>
      <c r="C84" s="323"/>
      <c r="D84" s="323" t="s">
        <v>564</v>
      </c>
      <c r="E84" s="323" t="s">
        <v>1377</v>
      </c>
      <c r="F84" s="323" t="s">
        <v>21</v>
      </c>
      <c r="G84" s="323" t="s">
        <v>817</v>
      </c>
      <c r="H84" s="323" t="s">
        <v>817</v>
      </c>
      <c r="I84" s="323" t="s">
        <v>1166</v>
      </c>
      <c r="J84" s="323" t="s">
        <v>1185</v>
      </c>
      <c r="K84" s="323" t="s">
        <v>1168</v>
      </c>
      <c r="L84" s="323" t="s">
        <v>1175</v>
      </c>
      <c r="M84" s="323">
        <v>2</v>
      </c>
      <c r="N84" s="323" t="s">
        <v>1169</v>
      </c>
      <c r="O84" s="323" t="s">
        <v>565</v>
      </c>
      <c r="P84" s="323" t="s">
        <v>566</v>
      </c>
      <c r="Q84" s="323" t="s">
        <v>567</v>
      </c>
      <c r="R84" s="323"/>
      <c r="S84" s="323" t="s">
        <v>168</v>
      </c>
      <c r="T84" s="323" t="s">
        <v>1186</v>
      </c>
      <c r="U84" s="323" t="s">
        <v>568</v>
      </c>
      <c r="V84" s="323" t="s">
        <v>1372</v>
      </c>
      <c r="W84" s="323" t="s">
        <v>1373</v>
      </c>
      <c r="X84" s="323" t="s">
        <v>286</v>
      </c>
      <c r="Y84" s="323"/>
      <c r="Z84" s="323"/>
      <c r="AA84" s="323"/>
      <c r="AB84" s="323" t="s">
        <v>794</v>
      </c>
      <c r="AC84" s="323" t="s">
        <v>168</v>
      </c>
      <c r="AD84" s="323">
        <v>97</v>
      </c>
    </row>
    <row r="85" spans="1:30">
      <c r="A85" s="323" t="s">
        <v>1060</v>
      </c>
      <c r="B85" s="323" t="s">
        <v>1378</v>
      </c>
      <c r="C85" s="323"/>
      <c r="D85" s="323" t="s">
        <v>569</v>
      </c>
      <c r="E85" s="323" t="s">
        <v>1379</v>
      </c>
      <c r="F85" s="323" t="s">
        <v>21</v>
      </c>
      <c r="G85" s="323" t="s">
        <v>817</v>
      </c>
      <c r="H85" s="323" t="s">
        <v>817</v>
      </c>
      <c r="I85" s="323" t="s">
        <v>1166</v>
      </c>
      <c r="J85" s="323" t="s">
        <v>242</v>
      </c>
      <c r="K85" s="323" t="s">
        <v>1168</v>
      </c>
      <c r="L85" s="323" t="s">
        <v>799</v>
      </c>
      <c r="M85" s="323">
        <v>2</v>
      </c>
      <c r="N85" s="323" t="s">
        <v>1169</v>
      </c>
      <c r="O85" s="323" t="s">
        <v>570</v>
      </c>
      <c r="P85" s="323"/>
      <c r="Q85" s="323" t="s">
        <v>571</v>
      </c>
      <c r="R85" s="323" t="s">
        <v>572</v>
      </c>
      <c r="S85" s="323"/>
      <c r="T85" s="323"/>
      <c r="U85" s="323"/>
      <c r="V85" s="323" t="s">
        <v>1372</v>
      </c>
      <c r="W85" s="323" t="s">
        <v>1373</v>
      </c>
      <c r="X85" s="323" t="s">
        <v>355</v>
      </c>
      <c r="Y85" s="323"/>
      <c r="Z85" s="323" t="s">
        <v>171</v>
      </c>
      <c r="AA85" s="323" t="s">
        <v>153</v>
      </c>
      <c r="AB85" s="323" t="s">
        <v>794</v>
      </c>
      <c r="AC85" s="323" t="s">
        <v>808</v>
      </c>
      <c r="AD85" s="323">
        <v>98</v>
      </c>
    </row>
    <row r="86" spans="1:30">
      <c r="A86" s="323" t="s">
        <v>1070</v>
      </c>
      <c r="B86" s="323" t="s">
        <v>1380</v>
      </c>
      <c r="C86" s="323"/>
      <c r="D86" s="323" t="s">
        <v>573</v>
      </c>
      <c r="E86" s="323" t="s">
        <v>573</v>
      </c>
      <c r="F86" s="323" t="s">
        <v>21</v>
      </c>
      <c r="G86" s="323" t="s">
        <v>817</v>
      </c>
      <c r="H86" s="323" t="s">
        <v>817</v>
      </c>
      <c r="I86" s="323" t="s">
        <v>1166</v>
      </c>
      <c r="J86" s="323" t="s">
        <v>287</v>
      </c>
      <c r="K86" s="323" t="s">
        <v>1168</v>
      </c>
      <c r="L86" s="323" t="s">
        <v>1175</v>
      </c>
      <c r="M86" s="323">
        <v>2</v>
      </c>
      <c r="N86" s="323" t="s">
        <v>1169</v>
      </c>
      <c r="O86" s="323" t="s">
        <v>574</v>
      </c>
      <c r="P86" s="323"/>
      <c r="Q86" s="323"/>
      <c r="R86" s="323"/>
      <c r="S86" s="323"/>
      <c r="T86" s="323"/>
      <c r="U86" s="323"/>
      <c r="V86" s="323" t="s">
        <v>1372</v>
      </c>
      <c r="W86" s="323" t="s">
        <v>1373</v>
      </c>
      <c r="X86" s="323" t="s">
        <v>455</v>
      </c>
      <c r="Y86" s="323"/>
      <c r="Z86" s="323"/>
      <c r="AA86" s="323" t="s">
        <v>229</v>
      </c>
      <c r="AB86" s="323" t="s">
        <v>794</v>
      </c>
      <c r="AC86" s="323" t="s">
        <v>808</v>
      </c>
      <c r="AD86" s="323">
        <v>99</v>
      </c>
    </row>
    <row r="87" spans="1:30">
      <c r="A87" s="323" t="s">
        <v>1063</v>
      </c>
      <c r="B87" s="323" t="s">
        <v>1381</v>
      </c>
      <c r="C87" s="323"/>
      <c r="D87" s="323" t="s">
        <v>84</v>
      </c>
      <c r="E87" s="323" t="s">
        <v>84</v>
      </c>
      <c r="F87" s="323" t="s">
        <v>21</v>
      </c>
      <c r="G87" s="323" t="s">
        <v>817</v>
      </c>
      <c r="H87" s="323" t="s">
        <v>817</v>
      </c>
      <c r="I87" s="323" t="s">
        <v>1166</v>
      </c>
      <c r="J87" s="323" t="s">
        <v>287</v>
      </c>
      <c r="K87" s="323" t="s">
        <v>1168</v>
      </c>
      <c r="L87" s="323" t="s">
        <v>1175</v>
      </c>
      <c r="M87" s="323">
        <v>2</v>
      </c>
      <c r="N87" s="323" t="s">
        <v>1169</v>
      </c>
      <c r="O87" s="323" t="s">
        <v>575</v>
      </c>
      <c r="P87" s="323"/>
      <c r="Q87" s="323" t="s">
        <v>576</v>
      </c>
      <c r="R87" s="323"/>
      <c r="S87" s="323"/>
      <c r="T87" s="323"/>
      <c r="U87" s="323"/>
      <c r="V87" s="323" t="s">
        <v>1372</v>
      </c>
      <c r="W87" s="323" t="s">
        <v>1373</v>
      </c>
      <c r="X87" s="323" t="s">
        <v>315</v>
      </c>
      <c r="Y87" s="323"/>
      <c r="Z87" s="323" t="s">
        <v>171</v>
      </c>
      <c r="AA87" s="323" t="s">
        <v>229</v>
      </c>
      <c r="AB87" s="323" t="s">
        <v>794</v>
      </c>
      <c r="AC87" s="323" t="s">
        <v>808</v>
      </c>
      <c r="AD87" s="323">
        <v>100</v>
      </c>
    </row>
    <row r="88" spans="1:30">
      <c r="A88" s="323" t="s">
        <v>1382</v>
      </c>
      <c r="B88" s="323" t="s">
        <v>1383</v>
      </c>
      <c r="C88" s="323"/>
      <c r="D88" s="323" t="s">
        <v>577</v>
      </c>
      <c r="E88" s="323" t="s">
        <v>1384</v>
      </c>
      <c r="F88" s="323" t="s">
        <v>21</v>
      </c>
      <c r="G88" s="323" t="s">
        <v>817</v>
      </c>
      <c r="H88" s="323" t="s">
        <v>817</v>
      </c>
      <c r="I88" s="323" t="s">
        <v>1166</v>
      </c>
      <c r="J88" s="323" t="s">
        <v>287</v>
      </c>
      <c r="K88" s="323" t="s">
        <v>1168</v>
      </c>
      <c r="L88" s="323" t="s">
        <v>799</v>
      </c>
      <c r="M88" s="323">
        <v>2</v>
      </c>
      <c r="N88" s="323" t="s">
        <v>1169</v>
      </c>
      <c r="O88" s="323" t="s">
        <v>578</v>
      </c>
      <c r="P88" s="323"/>
      <c r="Q88" s="323" t="s">
        <v>579</v>
      </c>
      <c r="R88" s="323"/>
      <c r="S88" s="323"/>
      <c r="T88" s="323"/>
      <c r="U88" s="323"/>
      <c r="V88" s="323" t="s">
        <v>1372</v>
      </c>
      <c r="W88" s="323" t="s">
        <v>1373</v>
      </c>
      <c r="X88" s="323" t="s">
        <v>315</v>
      </c>
      <c r="Y88" s="323"/>
      <c r="Z88" s="323" t="s">
        <v>171</v>
      </c>
      <c r="AA88" s="323" t="s">
        <v>153</v>
      </c>
      <c r="AB88" s="323" t="s">
        <v>794</v>
      </c>
      <c r="AC88" s="323" t="s">
        <v>808</v>
      </c>
      <c r="AD88" s="323">
        <v>101</v>
      </c>
    </row>
    <row r="89" spans="1:30" ht="30">
      <c r="A89" s="323" t="s">
        <v>1095</v>
      </c>
      <c r="B89" s="323" t="s">
        <v>1385</v>
      </c>
      <c r="C89" s="323"/>
      <c r="D89" s="323" t="s">
        <v>87</v>
      </c>
      <c r="E89" s="323" t="s">
        <v>87</v>
      </c>
      <c r="F89" s="323" t="s">
        <v>25</v>
      </c>
      <c r="G89" s="323" t="s">
        <v>817</v>
      </c>
      <c r="H89" s="323" t="s">
        <v>817</v>
      </c>
      <c r="I89" s="323" t="s">
        <v>1166</v>
      </c>
      <c r="J89" s="323" t="s">
        <v>1386</v>
      </c>
      <c r="K89" s="323" t="s">
        <v>1168</v>
      </c>
      <c r="L89" s="323" t="s">
        <v>1223</v>
      </c>
      <c r="M89" s="323">
        <v>9</v>
      </c>
      <c r="N89" s="323" t="s">
        <v>1169</v>
      </c>
      <c r="O89" s="323" t="s">
        <v>582</v>
      </c>
      <c r="P89" s="323"/>
      <c r="Q89" s="323" t="s">
        <v>583</v>
      </c>
      <c r="R89" s="323" t="s">
        <v>584</v>
      </c>
      <c r="S89" s="323"/>
      <c r="T89" s="323"/>
      <c r="U89" s="323"/>
      <c r="V89" s="323" t="s">
        <v>1387</v>
      </c>
      <c r="W89" s="323" t="s">
        <v>1388</v>
      </c>
      <c r="X89" s="323" t="s">
        <v>551</v>
      </c>
      <c r="Y89" s="323" t="s">
        <v>170</v>
      </c>
      <c r="Z89" s="323"/>
      <c r="AA89" s="323" t="s">
        <v>157</v>
      </c>
      <c r="AB89" s="323" t="s">
        <v>794</v>
      </c>
      <c r="AC89" s="323" t="s">
        <v>808</v>
      </c>
      <c r="AD89" s="323">
        <v>103</v>
      </c>
    </row>
    <row r="90" spans="1:30" ht="30">
      <c r="A90" s="323" t="s">
        <v>1389</v>
      </c>
      <c r="B90" s="323" t="s">
        <v>1390</v>
      </c>
      <c r="C90" s="323"/>
      <c r="D90" s="323" t="s">
        <v>585</v>
      </c>
      <c r="E90" s="323" t="s">
        <v>1391</v>
      </c>
      <c r="F90" s="323" t="s">
        <v>25</v>
      </c>
      <c r="G90" s="323" t="s">
        <v>817</v>
      </c>
      <c r="H90" s="323" t="s">
        <v>817</v>
      </c>
      <c r="I90" s="323" t="s">
        <v>1166</v>
      </c>
      <c r="J90" s="323" t="s">
        <v>287</v>
      </c>
      <c r="K90" s="323" t="s">
        <v>1168</v>
      </c>
      <c r="L90" s="323" t="s">
        <v>1175</v>
      </c>
      <c r="M90" s="323">
        <v>3</v>
      </c>
      <c r="N90" s="323" t="s">
        <v>1169</v>
      </c>
      <c r="O90" s="323" t="s">
        <v>586</v>
      </c>
      <c r="P90" s="323" t="s">
        <v>587</v>
      </c>
      <c r="Q90" s="323" t="s">
        <v>588</v>
      </c>
      <c r="R90" s="323" t="s">
        <v>589</v>
      </c>
      <c r="S90" s="323" t="s">
        <v>168</v>
      </c>
      <c r="T90" s="323" t="s">
        <v>1186</v>
      </c>
      <c r="U90" s="323" t="s">
        <v>426</v>
      </c>
      <c r="V90" s="323" t="s">
        <v>1387</v>
      </c>
      <c r="W90" s="323" t="s">
        <v>1388</v>
      </c>
      <c r="X90" s="323" t="s">
        <v>315</v>
      </c>
      <c r="Y90" s="323"/>
      <c r="Z90" s="323"/>
      <c r="AA90" s="323"/>
      <c r="AB90" s="323" t="s">
        <v>794</v>
      </c>
      <c r="AC90" s="323" t="s">
        <v>168</v>
      </c>
      <c r="AD90" s="323">
        <v>104</v>
      </c>
    </row>
    <row r="91" spans="1:30" ht="30">
      <c r="A91" s="323" t="s">
        <v>1104</v>
      </c>
      <c r="B91" s="323" t="s">
        <v>1392</v>
      </c>
      <c r="C91" s="323"/>
      <c r="D91" s="323" t="s">
        <v>590</v>
      </c>
      <c r="E91" s="323" t="s">
        <v>1393</v>
      </c>
      <c r="F91" s="323" t="s">
        <v>25</v>
      </c>
      <c r="G91" s="323" t="s">
        <v>817</v>
      </c>
      <c r="H91" s="323" t="s">
        <v>817</v>
      </c>
      <c r="I91" s="323" t="s">
        <v>1166</v>
      </c>
      <c r="J91" s="323" t="s">
        <v>287</v>
      </c>
      <c r="K91" s="323" t="s">
        <v>1168</v>
      </c>
      <c r="L91" s="323" t="s">
        <v>1175</v>
      </c>
      <c r="M91" s="323">
        <v>3</v>
      </c>
      <c r="N91" s="323" t="s">
        <v>1169</v>
      </c>
      <c r="O91" s="323" t="s">
        <v>591</v>
      </c>
      <c r="P91" s="323"/>
      <c r="Q91" s="323" t="s">
        <v>592</v>
      </c>
      <c r="R91" s="323" t="s">
        <v>593</v>
      </c>
      <c r="S91" s="323"/>
      <c r="T91" s="323"/>
      <c r="U91" s="323"/>
      <c r="V91" s="323" t="s">
        <v>1387</v>
      </c>
      <c r="W91" s="323" t="s">
        <v>1388</v>
      </c>
      <c r="X91" s="323" t="s">
        <v>315</v>
      </c>
      <c r="Y91" s="323"/>
      <c r="Z91" s="323"/>
      <c r="AA91" s="323"/>
      <c r="AB91" s="323" t="s">
        <v>794</v>
      </c>
      <c r="AC91" s="323" t="s">
        <v>808</v>
      </c>
      <c r="AD91" s="323">
        <v>105</v>
      </c>
    </row>
    <row r="92" spans="1:30" ht="30">
      <c r="A92" s="323" t="s">
        <v>1394</v>
      </c>
      <c r="B92" s="323" t="s">
        <v>1395</v>
      </c>
      <c r="C92" s="323"/>
      <c r="D92" s="323" t="s">
        <v>595</v>
      </c>
      <c r="E92" s="323" t="s">
        <v>1396</v>
      </c>
      <c r="F92" s="323" t="s">
        <v>25</v>
      </c>
      <c r="G92" s="323" t="s">
        <v>817</v>
      </c>
      <c r="H92" s="323" t="s">
        <v>817</v>
      </c>
      <c r="I92" s="323" t="s">
        <v>1166</v>
      </c>
      <c r="J92" s="323" t="s">
        <v>287</v>
      </c>
      <c r="K92" s="323" t="s">
        <v>1168</v>
      </c>
      <c r="L92" s="323" t="s">
        <v>1223</v>
      </c>
      <c r="M92" s="323">
        <v>6</v>
      </c>
      <c r="N92" s="323" t="s">
        <v>1169</v>
      </c>
      <c r="O92" s="323" t="s">
        <v>596</v>
      </c>
      <c r="P92" s="323" t="s">
        <v>597</v>
      </c>
      <c r="Q92" s="323" t="s">
        <v>598</v>
      </c>
      <c r="R92" s="323" t="s">
        <v>599</v>
      </c>
      <c r="S92" s="323" t="s">
        <v>168</v>
      </c>
      <c r="T92" s="323" t="s">
        <v>168</v>
      </c>
      <c r="U92" s="323" t="s">
        <v>600</v>
      </c>
      <c r="V92" s="323" t="s">
        <v>1387</v>
      </c>
      <c r="W92" s="323" t="s">
        <v>1388</v>
      </c>
      <c r="X92" s="323" t="s">
        <v>315</v>
      </c>
      <c r="Y92" s="323" t="s">
        <v>170</v>
      </c>
      <c r="Z92" s="323"/>
      <c r="AA92" s="323" t="s">
        <v>157</v>
      </c>
      <c r="AB92" s="323" t="s">
        <v>794</v>
      </c>
      <c r="AC92" s="323" t="s">
        <v>168</v>
      </c>
      <c r="AD92" s="323">
        <v>106</v>
      </c>
    </row>
    <row r="93" spans="1:30" ht="30">
      <c r="A93" s="323" t="s">
        <v>1397</v>
      </c>
      <c r="B93" s="323" t="s">
        <v>1398</v>
      </c>
      <c r="C93" s="323"/>
      <c r="D93" s="323" t="s">
        <v>88</v>
      </c>
      <c r="E93" s="323" t="s">
        <v>1399</v>
      </c>
      <c r="F93" s="323" t="s">
        <v>25</v>
      </c>
      <c r="G93" s="323" t="s">
        <v>817</v>
      </c>
      <c r="H93" s="323" t="s">
        <v>817</v>
      </c>
      <c r="I93" s="323" t="s">
        <v>1166</v>
      </c>
      <c r="J93" s="323" t="s">
        <v>1185</v>
      </c>
      <c r="K93" s="323" t="s">
        <v>1168</v>
      </c>
      <c r="L93" s="323" t="s">
        <v>1223</v>
      </c>
      <c r="M93" s="323">
        <v>4</v>
      </c>
      <c r="N93" s="323" t="s">
        <v>1169</v>
      </c>
      <c r="O93" s="323" t="s">
        <v>601</v>
      </c>
      <c r="P93" s="323" t="s">
        <v>602</v>
      </c>
      <c r="Q93" s="323" t="s">
        <v>603</v>
      </c>
      <c r="R93" s="323"/>
      <c r="S93" s="323" t="s">
        <v>208</v>
      </c>
      <c r="T93" s="323" t="s">
        <v>1186</v>
      </c>
      <c r="U93" s="323" t="s">
        <v>604</v>
      </c>
      <c r="V93" s="323" t="s">
        <v>1387</v>
      </c>
      <c r="W93" s="323" t="s">
        <v>1388</v>
      </c>
      <c r="X93" s="323" t="s">
        <v>315</v>
      </c>
      <c r="Y93" s="323" t="s">
        <v>170</v>
      </c>
      <c r="Z93" s="323"/>
      <c r="AA93" s="323" t="s">
        <v>157</v>
      </c>
      <c r="AB93" s="323" t="s">
        <v>794</v>
      </c>
      <c r="AC93" s="323" t="s">
        <v>168</v>
      </c>
      <c r="AD93" s="323">
        <v>107</v>
      </c>
    </row>
    <row r="94" spans="1:30" ht="30">
      <c r="A94" s="323" t="s">
        <v>1116</v>
      </c>
      <c r="B94" s="323" t="s">
        <v>1400</v>
      </c>
      <c r="C94" s="323"/>
      <c r="D94" s="323" t="s">
        <v>606</v>
      </c>
      <c r="E94" s="323" t="s">
        <v>1401</v>
      </c>
      <c r="F94" s="323" t="s">
        <v>25</v>
      </c>
      <c r="G94" s="323" t="s">
        <v>817</v>
      </c>
      <c r="H94" s="323" t="s">
        <v>817</v>
      </c>
      <c r="I94" s="323" t="s">
        <v>1166</v>
      </c>
      <c r="J94" s="323" t="s">
        <v>1185</v>
      </c>
      <c r="K94" s="323" t="s">
        <v>1168</v>
      </c>
      <c r="L94" s="323" t="s">
        <v>1175</v>
      </c>
      <c r="M94" s="323">
        <v>4</v>
      </c>
      <c r="N94" s="323" t="s">
        <v>1169</v>
      </c>
      <c r="O94" s="323" t="s">
        <v>607</v>
      </c>
      <c r="P94" s="323"/>
      <c r="Q94" s="323" t="s">
        <v>608</v>
      </c>
      <c r="R94" s="323" t="s">
        <v>609</v>
      </c>
      <c r="S94" s="323"/>
      <c r="T94" s="323"/>
      <c r="U94" s="323"/>
      <c r="V94" s="323" t="s">
        <v>1387</v>
      </c>
      <c r="W94" s="323" t="s">
        <v>1388</v>
      </c>
      <c r="X94" s="323" t="s">
        <v>315</v>
      </c>
      <c r="Y94" s="323"/>
      <c r="Z94" s="323"/>
      <c r="AA94" s="323"/>
      <c r="AB94" s="323" t="s">
        <v>794</v>
      </c>
      <c r="AC94" s="323" t="s">
        <v>808</v>
      </c>
      <c r="AD94" s="323">
        <v>108</v>
      </c>
    </row>
    <row r="95" spans="1:30" ht="30">
      <c r="A95" s="323" t="s">
        <v>1131</v>
      </c>
      <c r="B95" s="323" t="s">
        <v>1402</v>
      </c>
      <c r="C95" s="323"/>
      <c r="D95" s="323" t="s">
        <v>90</v>
      </c>
      <c r="E95" s="323" t="s">
        <v>1403</v>
      </c>
      <c r="F95" s="323" t="s">
        <v>25</v>
      </c>
      <c r="G95" s="323" t="s">
        <v>817</v>
      </c>
      <c r="H95" s="323" t="s">
        <v>817</v>
      </c>
      <c r="I95" s="323" t="s">
        <v>1166</v>
      </c>
      <c r="J95" s="323" t="s">
        <v>1222</v>
      </c>
      <c r="K95" s="323" t="s">
        <v>1168</v>
      </c>
      <c r="L95" s="323" t="s">
        <v>1223</v>
      </c>
      <c r="M95" s="323">
        <v>4</v>
      </c>
      <c r="N95" s="323" t="s">
        <v>1169</v>
      </c>
      <c r="O95" s="323" t="s">
        <v>610</v>
      </c>
      <c r="P95" s="323" t="s">
        <v>611</v>
      </c>
      <c r="Q95" s="323" t="s">
        <v>519</v>
      </c>
      <c r="R95" s="323" t="s">
        <v>612</v>
      </c>
      <c r="S95" s="323" t="s">
        <v>168</v>
      </c>
      <c r="T95" s="323" t="s">
        <v>1186</v>
      </c>
      <c r="U95" s="323" t="s">
        <v>613</v>
      </c>
      <c r="V95" s="323" t="s">
        <v>1387</v>
      </c>
      <c r="W95" s="323" t="s">
        <v>1388</v>
      </c>
      <c r="X95" s="323" t="s">
        <v>315</v>
      </c>
      <c r="Y95" s="323" t="s">
        <v>170</v>
      </c>
      <c r="Z95" s="323"/>
      <c r="AA95" s="323" t="s">
        <v>157</v>
      </c>
      <c r="AB95" s="323" t="s">
        <v>794</v>
      </c>
      <c r="AC95" s="323" t="s">
        <v>168</v>
      </c>
      <c r="AD95" s="323">
        <v>109</v>
      </c>
    </row>
    <row r="96" spans="1:30" ht="30">
      <c r="A96" s="323" t="s">
        <v>1404</v>
      </c>
      <c r="B96" s="323" t="s">
        <v>1405</v>
      </c>
      <c r="C96" s="323"/>
      <c r="D96" s="323" t="s">
        <v>614</v>
      </c>
      <c r="E96" s="323" t="s">
        <v>1406</v>
      </c>
      <c r="F96" s="323" t="s">
        <v>25</v>
      </c>
      <c r="G96" s="323" t="s">
        <v>817</v>
      </c>
      <c r="H96" s="323" t="s">
        <v>817</v>
      </c>
      <c r="I96" s="323" t="s">
        <v>1166</v>
      </c>
      <c r="J96" s="323" t="s">
        <v>1199</v>
      </c>
      <c r="K96" s="323" t="s">
        <v>1168</v>
      </c>
      <c r="L96" s="323" t="s">
        <v>1223</v>
      </c>
      <c r="M96" s="323">
        <v>4</v>
      </c>
      <c r="N96" s="323" t="s">
        <v>1169</v>
      </c>
      <c r="O96" s="323" t="s">
        <v>615</v>
      </c>
      <c r="P96" s="323" t="s">
        <v>616</v>
      </c>
      <c r="Q96" s="323" t="s">
        <v>617</v>
      </c>
      <c r="R96" s="323"/>
      <c r="S96" s="323" t="s">
        <v>168</v>
      </c>
      <c r="T96" s="323" t="s">
        <v>1186</v>
      </c>
      <c r="U96" s="323" t="s">
        <v>618</v>
      </c>
      <c r="V96" s="323" t="s">
        <v>1387</v>
      </c>
      <c r="W96" s="323" t="s">
        <v>1388</v>
      </c>
      <c r="X96" s="323" t="s">
        <v>315</v>
      </c>
      <c r="Y96" s="323" t="s">
        <v>170</v>
      </c>
      <c r="Z96" s="323"/>
      <c r="AA96" s="323" t="s">
        <v>157</v>
      </c>
      <c r="AB96" s="323" t="s">
        <v>794</v>
      </c>
      <c r="AC96" s="323" t="s">
        <v>168</v>
      </c>
      <c r="AD96" s="323">
        <v>110</v>
      </c>
    </row>
    <row r="97" spans="1:30" ht="30">
      <c r="A97" s="323" t="s">
        <v>1407</v>
      </c>
      <c r="B97" s="323" t="s">
        <v>1408</v>
      </c>
      <c r="C97" s="323"/>
      <c r="D97" s="323" t="s">
        <v>619</v>
      </c>
      <c r="E97" s="323" t="s">
        <v>1409</v>
      </c>
      <c r="F97" s="323" t="s">
        <v>25</v>
      </c>
      <c r="G97" s="323" t="s">
        <v>817</v>
      </c>
      <c r="H97" s="323" t="s">
        <v>817</v>
      </c>
      <c r="I97" s="323" t="s">
        <v>1166</v>
      </c>
      <c r="J97" s="323" t="s">
        <v>242</v>
      </c>
      <c r="K97" s="323" t="s">
        <v>1168</v>
      </c>
      <c r="L97" s="323" t="s">
        <v>799</v>
      </c>
      <c r="M97" s="323">
        <v>2</v>
      </c>
      <c r="N97" s="323" t="s">
        <v>1169</v>
      </c>
      <c r="O97" s="323" t="s">
        <v>620</v>
      </c>
      <c r="P97" s="323"/>
      <c r="Q97" s="323"/>
      <c r="R97" s="323"/>
      <c r="S97" s="323"/>
      <c r="T97" s="323"/>
      <c r="U97" s="323"/>
      <c r="V97" s="323" t="s">
        <v>1387</v>
      </c>
      <c r="W97" s="323" t="s">
        <v>1388</v>
      </c>
      <c r="X97" s="323" t="s">
        <v>355</v>
      </c>
      <c r="Y97" s="323"/>
      <c r="Z97" s="323"/>
      <c r="AA97" s="323" t="s">
        <v>153</v>
      </c>
      <c r="AB97" s="323" t="s">
        <v>794</v>
      </c>
      <c r="AC97" s="323" t="s">
        <v>808</v>
      </c>
      <c r="AD97" s="323">
        <v>111</v>
      </c>
    </row>
    <row r="98" spans="1:30" ht="30">
      <c r="A98" s="323" t="s">
        <v>1410</v>
      </c>
      <c r="B98" s="323" t="s">
        <v>1411</v>
      </c>
      <c r="C98" s="323"/>
      <c r="D98" s="323" t="s">
        <v>1113</v>
      </c>
      <c r="E98" s="323" t="s">
        <v>1113</v>
      </c>
      <c r="F98" s="323" t="s">
        <v>25</v>
      </c>
      <c r="G98" s="323" t="s">
        <v>817</v>
      </c>
      <c r="H98" s="323" t="s">
        <v>817</v>
      </c>
      <c r="I98" s="323" t="s">
        <v>1166</v>
      </c>
      <c r="J98" s="323" t="s">
        <v>242</v>
      </c>
      <c r="K98" s="323" t="s">
        <v>1168</v>
      </c>
      <c r="L98" s="323" t="s">
        <v>1175</v>
      </c>
      <c r="M98" s="323">
        <v>2</v>
      </c>
      <c r="N98" s="323" t="s">
        <v>1169</v>
      </c>
      <c r="O98" s="323" t="s">
        <v>622</v>
      </c>
      <c r="P98" s="323" t="s">
        <v>623</v>
      </c>
      <c r="Q98" s="323"/>
      <c r="R98" s="323" t="s">
        <v>624</v>
      </c>
      <c r="S98" s="323" t="s">
        <v>168</v>
      </c>
      <c r="T98" s="323" t="s">
        <v>1203</v>
      </c>
      <c r="U98" s="323" t="s">
        <v>625</v>
      </c>
      <c r="V98" s="323" t="s">
        <v>1387</v>
      </c>
      <c r="W98" s="323" t="s">
        <v>1388</v>
      </c>
      <c r="X98" s="323"/>
      <c r="Y98" s="323"/>
      <c r="Z98" s="323" t="s">
        <v>171</v>
      </c>
      <c r="AA98" s="323" t="s">
        <v>229</v>
      </c>
      <c r="AB98" s="323" t="s">
        <v>794</v>
      </c>
      <c r="AC98" s="323" t="s">
        <v>168</v>
      </c>
      <c r="AD98" s="323">
        <v>112</v>
      </c>
    </row>
    <row r="99" spans="1:30" ht="30">
      <c r="A99" s="323" t="s">
        <v>1412</v>
      </c>
      <c r="B99" s="323" t="s">
        <v>1413</v>
      </c>
      <c r="C99" s="323"/>
      <c r="D99" s="323" t="s">
        <v>626</v>
      </c>
      <c r="E99" s="323" t="s">
        <v>1414</v>
      </c>
      <c r="F99" s="323" t="s">
        <v>25</v>
      </c>
      <c r="G99" s="323" t="s">
        <v>817</v>
      </c>
      <c r="H99" s="323" t="s">
        <v>817</v>
      </c>
      <c r="I99" s="323" t="s">
        <v>1166</v>
      </c>
      <c r="J99" s="323" t="s">
        <v>242</v>
      </c>
      <c r="K99" s="323" t="s">
        <v>1168</v>
      </c>
      <c r="L99" s="323" t="s">
        <v>1175</v>
      </c>
      <c r="M99" s="323">
        <v>2</v>
      </c>
      <c r="N99" s="323" t="s">
        <v>1169</v>
      </c>
      <c r="O99" s="323" t="s">
        <v>627</v>
      </c>
      <c r="P99" s="323"/>
      <c r="Q99" s="323"/>
      <c r="R99" s="323"/>
      <c r="S99" s="323"/>
      <c r="T99" s="323"/>
      <c r="U99" s="323"/>
      <c r="V99" s="323" t="s">
        <v>1387</v>
      </c>
      <c r="W99" s="323" t="s">
        <v>1388</v>
      </c>
      <c r="X99" s="323" t="s">
        <v>355</v>
      </c>
      <c r="Y99" s="323"/>
      <c r="Z99" s="323"/>
      <c r="AA99" s="323" t="s">
        <v>229</v>
      </c>
      <c r="AB99" s="323" t="s">
        <v>794</v>
      </c>
      <c r="AC99" s="323" t="s">
        <v>808</v>
      </c>
      <c r="AD99" s="323">
        <v>113</v>
      </c>
    </row>
    <row r="100" spans="1:30" ht="30">
      <c r="A100" s="323" t="s">
        <v>1122</v>
      </c>
      <c r="B100" s="323" t="s">
        <v>1415</v>
      </c>
      <c r="C100" s="323"/>
      <c r="D100" s="323" t="s">
        <v>94</v>
      </c>
      <c r="E100" s="323" t="s">
        <v>1416</v>
      </c>
      <c r="F100" s="323" t="s">
        <v>25</v>
      </c>
      <c r="G100" s="323" t="s">
        <v>817</v>
      </c>
      <c r="H100" s="323" t="s">
        <v>817</v>
      </c>
      <c r="I100" s="323" t="s">
        <v>1166</v>
      </c>
      <c r="J100" s="323" t="s">
        <v>1199</v>
      </c>
      <c r="K100" s="323" t="s">
        <v>1168</v>
      </c>
      <c r="L100" s="323" t="s">
        <v>1175</v>
      </c>
      <c r="M100" s="323">
        <v>2</v>
      </c>
      <c r="N100" s="323" t="s">
        <v>1169</v>
      </c>
      <c r="O100" s="323" t="s">
        <v>628</v>
      </c>
      <c r="P100" s="323"/>
      <c r="Q100" s="323" t="s">
        <v>629</v>
      </c>
      <c r="R100" s="323"/>
      <c r="S100" s="323"/>
      <c r="T100" s="323"/>
      <c r="U100" s="323"/>
      <c r="V100" s="323" t="s">
        <v>1387</v>
      </c>
      <c r="W100" s="323" t="s">
        <v>1388</v>
      </c>
      <c r="X100" s="323" t="s">
        <v>315</v>
      </c>
      <c r="Y100" s="323"/>
      <c r="Z100" s="323"/>
      <c r="AA100" s="323" t="s">
        <v>229</v>
      </c>
      <c r="AB100" s="323" t="s">
        <v>794</v>
      </c>
      <c r="AC100" s="323" t="s">
        <v>808</v>
      </c>
      <c r="AD100" s="323">
        <v>114</v>
      </c>
    </row>
    <row r="101" spans="1:30" ht="30">
      <c r="A101" s="323" t="s">
        <v>1417</v>
      </c>
      <c r="B101" s="323" t="s">
        <v>1418</v>
      </c>
      <c r="C101" s="323"/>
      <c r="D101" s="323" t="s">
        <v>630</v>
      </c>
      <c r="E101" s="323" t="s">
        <v>1125</v>
      </c>
      <c r="F101" s="323" t="s">
        <v>25</v>
      </c>
      <c r="G101" s="323" t="s">
        <v>817</v>
      </c>
      <c r="H101" s="323" t="s">
        <v>817</v>
      </c>
      <c r="I101" s="323" t="s">
        <v>1166</v>
      </c>
      <c r="J101" s="323" t="s">
        <v>1212</v>
      </c>
      <c r="K101" s="323" t="s">
        <v>1168</v>
      </c>
      <c r="L101" s="323" t="s">
        <v>1175</v>
      </c>
      <c r="M101" s="323">
        <v>4</v>
      </c>
      <c r="N101" s="323" t="s">
        <v>1169</v>
      </c>
      <c r="O101" s="323" t="s">
        <v>631</v>
      </c>
      <c r="P101" s="323" t="s">
        <v>632</v>
      </c>
      <c r="Q101" s="323" t="s">
        <v>633</v>
      </c>
      <c r="R101" s="323" t="s">
        <v>634</v>
      </c>
      <c r="S101" s="323" t="s">
        <v>168</v>
      </c>
      <c r="T101" s="323" t="s">
        <v>1200</v>
      </c>
      <c r="U101" s="323" t="s">
        <v>635</v>
      </c>
      <c r="V101" s="323" t="s">
        <v>1387</v>
      </c>
      <c r="W101" s="323" t="s">
        <v>1388</v>
      </c>
      <c r="X101" s="323" t="s">
        <v>355</v>
      </c>
      <c r="Y101" s="323"/>
      <c r="Z101" s="323"/>
      <c r="AA101" s="323" t="s">
        <v>157</v>
      </c>
      <c r="AB101" s="323" t="s">
        <v>794</v>
      </c>
      <c r="AC101" s="323" t="s">
        <v>168</v>
      </c>
      <c r="AD101" s="323">
        <v>115</v>
      </c>
    </row>
    <row r="102" spans="1:30" ht="30">
      <c r="A102" s="323" t="s">
        <v>1014</v>
      </c>
      <c r="B102" s="323" t="s">
        <v>1419</v>
      </c>
      <c r="C102" s="323"/>
      <c r="D102" s="323" t="s">
        <v>637</v>
      </c>
      <c r="E102" s="323" t="s">
        <v>637</v>
      </c>
      <c r="F102" s="323" t="s">
        <v>29</v>
      </c>
      <c r="G102" s="323" t="s">
        <v>1232</v>
      </c>
      <c r="H102" s="323" t="s">
        <v>1233</v>
      </c>
      <c r="I102" s="323" t="s">
        <v>1166</v>
      </c>
      <c r="J102" s="323" t="s">
        <v>1308</v>
      </c>
      <c r="K102" s="323" t="s">
        <v>1168</v>
      </c>
      <c r="L102" s="323" t="s">
        <v>799</v>
      </c>
      <c r="M102" s="323">
        <v>3</v>
      </c>
      <c r="N102" s="323" t="s">
        <v>1235</v>
      </c>
      <c r="O102" s="323" t="s">
        <v>638</v>
      </c>
      <c r="P102" s="323"/>
      <c r="Q102" s="323" t="s">
        <v>639</v>
      </c>
      <c r="R102" s="323"/>
      <c r="S102" s="323"/>
      <c r="T102" s="323"/>
      <c r="U102" s="323"/>
      <c r="V102" s="323" t="s">
        <v>1312</v>
      </c>
      <c r="W102" s="323" t="s">
        <v>1313</v>
      </c>
      <c r="X102" s="323"/>
      <c r="Y102" s="323"/>
      <c r="Z102" s="323"/>
      <c r="AA102" s="323" t="s">
        <v>153</v>
      </c>
      <c r="AB102" s="323" t="s">
        <v>794</v>
      </c>
      <c r="AC102" s="323" t="s">
        <v>808</v>
      </c>
      <c r="AD102" s="323">
        <v>117</v>
      </c>
    </row>
    <row r="103" spans="1:30" ht="30">
      <c r="A103" s="323" t="s">
        <v>1420</v>
      </c>
      <c r="B103" s="323"/>
      <c r="C103" s="323"/>
      <c r="D103" s="323" t="s">
        <v>640</v>
      </c>
      <c r="E103" s="323"/>
      <c r="F103" s="323" t="s">
        <v>29</v>
      </c>
      <c r="G103" s="323" t="s">
        <v>793</v>
      </c>
      <c r="H103" s="323"/>
      <c r="I103" s="323" t="s">
        <v>1166</v>
      </c>
      <c r="J103" s="323"/>
      <c r="K103" s="323" t="s">
        <v>844</v>
      </c>
      <c r="L103" s="323" t="s">
        <v>1175</v>
      </c>
      <c r="M103" s="323"/>
      <c r="N103" s="323" t="s">
        <v>1169</v>
      </c>
      <c r="O103" s="323" t="s">
        <v>641</v>
      </c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 t="s">
        <v>794</v>
      </c>
      <c r="AC103" s="323" t="s">
        <v>1177</v>
      </c>
      <c r="AD103" s="323">
        <v>118</v>
      </c>
    </row>
    <row r="104" spans="1:30" ht="30">
      <c r="A104" s="323" t="s">
        <v>1017</v>
      </c>
      <c r="B104" s="323" t="s">
        <v>1421</v>
      </c>
      <c r="C104" s="323"/>
      <c r="D104" s="323" t="s">
        <v>107</v>
      </c>
      <c r="E104" s="323" t="s">
        <v>107</v>
      </c>
      <c r="F104" s="323" t="s">
        <v>29</v>
      </c>
      <c r="G104" s="323" t="s">
        <v>817</v>
      </c>
      <c r="H104" s="323" t="s">
        <v>817</v>
      </c>
      <c r="I104" s="323" t="s">
        <v>1166</v>
      </c>
      <c r="J104" s="323" t="s">
        <v>242</v>
      </c>
      <c r="K104" s="323" t="s">
        <v>1168</v>
      </c>
      <c r="L104" s="323" t="s">
        <v>1175</v>
      </c>
      <c r="M104" s="323">
        <v>3</v>
      </c>
      <c r="N104" s="323" t="s">
        <v>1169</v>
      </c>
      <c r="O104" s="323" t="s">
        <v>642</v>
      </c>
      <c r="P104" s="323" t="s">
        <v>643</v>
      </c>
      <c r="Q104" s="323"/>
      <c r="R104" s="323"/>
      <c r="S104" s="323"/>
      <c r="T104" s="323"/>
      <c r="U104" s="323" t="s">
        <v>247</v>
      </c>
      <c r="V104" s="323" t="s">
        <v>1312</v>
      </c>
      <c r="W104" s="323" t="s">
        <v>1313</v>
      </c>
      <c r="X104" s="323" t="s">
        <v>182</v>
      </c>
      <c r="Y104" s="323"/>
      <c r="Z104" s="323"/>
      <c r="AA104" s="323"/>
      <c r="AB104" s="323" t="s">
        <v>794</v>
      </c>
      <c r="AC104" s="323" t="s">
        <v>168</v>
      </c>
      <c r="AD104" s="323">
        <v>119</v>
      </c>
    </row>
    <row r="105" spans="1:30">
      <c r="A105" s="323" t="s">
        <v>1020</v>
      </c>
      <c r="B105" s="323"/>
      <c r="C105" s="323"/>
      <c r="D105" s="323" t="s">
        <v>109</v>
      </c>
      <c r="E105" s="323"/>
      <c r="F105" s="323" t="s">
        <v>29</v>
      </c>
      <c r="G105" s="323" t="s">
        <v>793</v>
      </c>
      <c r="H105" s="323"/>
      <c r="I105" s="323" t="s">
        <v>1166</v>
      </c>
      <c r="J105" s="323"/>
      <c r="K105" s="323" t="s">
        <v>844</v>
      </c>
      <c r="L105" s="323" t="s">
        <v>1223</v>
      </c>
      <c r="M105" s="323">
        <v>7</v>
      </c>
      <c r="N105" s="323" t="s">
        <v>1169</v>
      </c>
      <c r="O105" s="323" t="s">
        <v>644</v>
      </c>
      <c r="P105" s="323"/>
      <c r="Q105" s="323" t="s">
        <v>645</v>
      </c>
      <c r="R105" s="323"/>
      <c r="S105" s="323"/>
      <c r="T105" s="323"/>
      <c r="U105" s="323" t="s">
        <v>638</v>
      </c>
      <c r="V105" s="323"/>
      <c r="W105" s="323"/>
      <c r="X105" s="323" t="s">
        <v>315</v>
      </c>
      <c r="Y105" s="323" t="s">
        <v>170</v>
      </c>
      <c r="Z105" s="323"/>
      <c r="AA105" s="323" t="s">
        <v>157</v>
      </c>
      <c r="AB105" s="323" t="s">
        <v>794</v>
      </c>
      <c r="AC105" s="323" t="s">
        <v>802</v>
      </c>
      <c r="AD105" s="323">
        <v>120</v>
      </c>
    </row>
    <row r="106" spans="1:30" ht="30">
      <c r="A106" s="323" t="s">
        <v>1422</v>
      </c>
      <c r="B106" s="323"/>
      <c r="C106" s="323"/>
      <c r="D106" s="323" t="s">
        <v>646</v>
      </c>
      <c r="E106" s="323"/>
      <c r="F106" s="323" t="s">
        <v>29</v>
      </c>
      <c r="G106" s="323" t="s">
        <v>798</v>
      </c>
      <c r="H106" s="323"/>
      <c r="I106" s="323" t="s">
        <v>1166</v>
      </c>
      <c r="J106" s="323"/>
      <c r="K106" s="323" t="s">
        <v>844</v>
      </c>
      <c r="L106" s="323" t="s">
        <v>799</v>
      </c>
      <c r="M106" s="323">
        <v>1</v>
      </c>
      <c r="N106" s="323" t="s">
        <v>1235</v>
      </c>
      <c r="O106" s="323"/>
      <c r="P106" s="323"/>
      <c r="Q106" s="323"/>
      <c r="R106" s="323"/>
      <c r="S106" s="323"/>
      <c r="T106" s="323"/>
      <c r="U106" s="323"/>
      <c r="V106" s="323"/>
      <c r="W106" s="323"/>
      <c r="X106" s="323" t="s">
        <v>455</v>
      </c>
      <c r="Y106" s="323"/>
      <c r="Z106" s="323"/>
      <c r="AA106" s="323" t="s">
        <v>153</v>
      </c>
      <c r="AB106" s="323" t="s">
        <v>794</v>
      </c>
      <c r="AC106" s="323" t="s">
        <v>802</v>
      </c>
      <c r="AD106" s="323">
        <v>121</v>
      </c>
    </row>
    <row r="107" spans="1:30" ht="30">
      <c r="A107" s="323" t="s">
        <v>1423</v>
      </c>
      <c r="B107" s="323" t="s">
        <v>1424</v>
      </c>
      <c r="C107" s="323"/>
      <c r="D107" s="323" t="s">
        <v>110</v>
      </c>
      <c r="E107" s="323" t="s">
        <v>1425</v>
      </c>
      <c r="F107" s="323" t="s">
        <v>29</v>
      </c>
      <c r="G107" s="323" t="s">
        <v>817</v>
      </c>
      <c r="H107" s="323" t="s">
        <v>817</v>
      </c>
      <c r="I107" s="323" t="s">
        <v>1166</v>
      </c>
      <c r="J107" s="323" t="s">
        <v>287</v>
      </c>
      <c r="K107" s="323" t="s">
        <v>1168</v>
      </c>
      <c r="L107" s="323" t="s">
        <v>1223</v>
      </c>
      <c r="M107" s="323">
        <v>2</v>
      </c>
      <c r="N107" s="323" t="s">
        <v>1169</v>
      </c>
      <c r="O107" s="323" t="s">
        <v>647</v>
      </c>
      <c r="P107" s="323" t="s">
        <v>540</v>
      </c>
      <c r="Q107" s="323" t="s">
        <v>648</v>
      </c>
      <c r="R107" s="323"/>
      <c r="S107" s="323"/>
      <c r="T107" s="323"/>
      <c r="U107" s="323"/>
      <c r="V107" s="323" t="s">
        <v>1312</v>
      </c>
      <c r="W107" s="323" t="s">
        <v>1313</v>
      </c>
      <c r="X107" s="323" t="s">
        <v>163</v>
      </c>
      <c r="Y107" s="323" t="s">
        <v>285</v>
      </c>
      <c r="Z107" s="323"/>
      <c r="AA107" s="323" t="s">
        <v>229</v>
      </c>
      <c r="AB107" s="323" t="s">
        <v>794</v>
      </c>
      <c r="AC107" s="323" t="s">
        <v>808</v>
      </c>
      <c r="AD107" s="323">
        <v>122</v>
      </c>
    </row>
  </sheetData>
  <mergeCells count="2">
    <mergeCell ref="A1:AD1"/>
    <mergeCell ref="A2:AD2"/>
  </mergeCells>
  <conditionalFormatting sqref="J5:J107">
    <cfRule type="containsBlanks" dxfId="2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5"/>
  <sheetViews>
    <sheetView showGridLines="0" workbookViewId="0"/>
  </sheetViews>
  <sheetFormatPr baseColWidth="10" defaultColWidth="9.140625" defaultRowHeight="15"/>
  <cols>
    <col min="1" max="1" width="15" customWidth="1"/>
    <col min="2" max="2" width="31" customWidth="1"/>
    <col min="3" max="3" width="20" customWidth="1"/>
    <col min="4" max="4" width="18" customWidth="1"/>
    <col min="5" max="5" width="28" customWidth="1"/>
    <col min="6" max="6" width="18" customWidth="1"/>
    <col min="7" max="7" width="10" customWidth="1"/>
    <col min="8" max="8" width="42" customWidth="1"/>
    <col min="9" max="9" width="16" customWidth="1"/>
    <col min="10" max="10" width="19" customWidth="1"/>
    <col min="11" max="11" width="22" customWidth="1"/>
    <col min="12" max="13" width="24" customWidth="1"/>
    <col min="14" max="14" width="12" customWidth="1"/>
    <col min="15" max="15" width="15" customWidth="1"/>
  </cols>
  <sheetData>
    <row r="1" spans="1:15" ht="33.950000000000003" customHeight="1">
      <c r="A1" s="428" t="s">
        <v>1426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</row>
    <row r="2" spans="1:15" ht="30" customHeight="1">
      <c r="A2" s="429" t="s">
        <v>1427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</row>
    <row r="4" spans="1:15" ht="32.1" customHeight="1">
      <c r="A4" s="322" t="s">
        <v>1138</v>
      </c>
      <c r="B4" s="322" t="s">
        <v>1140</v>
      </c>
      <c r="C4" s="322" t="s">
        <v>1428</v>
      </c>
      <c r="D4" s="322" t="s">
        <v>1142</v>
      </c>
      <c r="E4" s="322" t="s">
        <v>1144</v>
      </c>
      <c r="F4" s="322" t="s">
        <v>1429</v>
      </c>
      <c r="G4" s="322" t="s">
        <v>1153</v>
      </c>
      <c r="H4" s="322" t="s">
        <v>1155</v>
      </c>
      <c r="I4" s="322" t="s">
        <v>1430</v>
      </c>
      <c r="J4" s="322" t="s">
        <v>1431</v>
      </c>
      <c r="K4" s="322" t="s">
        <v>1145</v>
      </c>
      <c r="L4" s="322" t="s">
        <v>1156</v>
      </c>
      <c r="M4" s="322" t="s">
        <v>1432</v>
      </c>
      <c r="N4" s="322" t="s">
        <v>1433</v>
      </c>
      <c r="O4" s="322" t="s">
        <v>1434</v>
      </c>
    </row>
    <row r="5" spans="1:15" ht="30">
      <c r="A5" s="323" t="s">
        <v>1173</v>
      </c>
      <c r="B5" s="323" t="s">
        <v>1174</v>
      </c>
      <c r="C5" s="323" t="s">
        <v>817</v>
      </c>
      <c r="D5" s="323" t="s">
        <v>817</v>
      </c>
      <c r="E5" s="323" t="s">
        <v>320</v>
      </c>
      <c r="F5" s="323" t="s">
        <v>155</v>
      </c>
      <c r="G5" s="323" t="s">
        <v>1186</v>
      </c>
      <c r="H5" s="323" t="s">
        <v>1170</v>
      </c>
      <c r="I5" s="323" t="s">
        <v>1435</v>
      </c>
      <c r="J5" s="323" t="s">
        <v>1436</v>
      </c>
      <c r="K5" s="323" t="s">
        <v>1437</v>
      </c>
      <c r="L5" s="323" t="s">
        <v>1171</v>
      </c>
      <c r="M5" s="323" t="s">
        <v>1438</v>
      </c>
      <c r="N5" s="324">
        <v>1</v>
      </c>
      <c r="O5" s="323">
        <v>7</v>
      </c>
    </row>
    <row r="6" spans="1:15" ht="30">
      <c r="A6" s="323" t="s">
        <v>1179</v>
      </c>
      <c r="B6" s="323" t="s">
        <v>1180</v>
      </c>
      <c r="C6" s="323" t="s">
        <v>817</v>
      </c>
      <c r="D6" s="323" t="s">
        <v>817</v>
      </c>
      <c r="E6" s="323" t="s">
        <v>1181</v>
      </c>
      <c r="F6" s="323" t="s">
        <v>162</v>
      </c>
      <c r="G6" s="323" t="s">
        <v>1186</v>
      </c>
      <c r="H6" s="323" t="s">
        <v>1170</v>
      </c>
      <c r="I6" s="323" t="s">
        <v>1435</v>
      </c>
      <c r="J6" s="323" t="s">
        <v>1436</v>
      </c>
      <c r="K6" s="323" t="s">
        <v>1437</v>
      </c>
      <c r="L6" s="323" t="s">
        <v>1171</v>
      </c>
      <c r="M6" s="323" t="s">
        <v>1438</v>
      </c>
      <c r="N6" s="324">
        <v>1</v>
      </c>
      <c r="O6" s="323">
        <v>9</v>
      </c>
    </row>
    <row r="7" spans="1:15">
      <c r="A7" s="323" t="s">
        <v>1202</v>
      </c>
      <c r="B7" s="323" t="s">
        <v>197</v>
      </c>
      <c r="C7" s="323" t="s">
        <v>817</v>
      </c>
      <c r="D7" s="323" t="s">
        <v>817</v>
      </c>
      <c r="E7" s="323" t="s">
        <v>287</v>
      </c>
      <c r="F7" s="323" t="s">
        <v>198</v>
      </c>
      <c r="G7" s="323" t="s">
        <v>1203</v>
      </c>
      <c r="H7" s="323" t="s">
        <v>1204</v>
      </c>
      <c r="I7" s="323" t="s">
        <v>184</v>
      </c>
      <c r="J7" s="323" t="s">
        <v>1436</v>
      </c>
      <c r="K7" s="323" t="s">
        <v>1437</v>
      </c>
      <c r="L7" s="323" t="s">
        <v>1205</v>
      </c>
      <c r="M7" s="323" t="s">
        <v>1438</v>
      </c>
      <c r="N7" s="324">
        <v>1</v>
      </c>
      <c r="O7" s="323">
        <v>99</v>
      </c>
    </row>
    <row r="8" spans="1:15">
      <c r="A8" s="323" t="s">
        <v>1247</v>
      </c>
      <c r="B8" s="323" t="s">
        <v>1248</v>
      </c>
      <c r="C8" s="323" t="s">
        <v>817</v>
      </c>
      <c r="D8" s="323" t="s">
        <v>817</v>
      </c>
      <c r="E8" s="323" t="s">
        <v>1185</v>
      </c>
      <c r="F8" s="323" t="s">
        <v>290</v>
      </c>
      <c r="G8" s="323" t="s">
        <v>1203</v>
      </c>
      <c r="H8" s="323" t="s">
        <v>1249</v>
      </c>
      <c r="I8" s="323" t="s">
        <v>288</v>
      </c>
      <c r="J8" s="323" t="s">
        <v>1436</v>
      </c>
      <c r="K8" s="323" t="s">
        <v>1437</v>
      </c>
      <c r="L8" s="323" t="s">
        <v>1250</v>
      </c>
      <c r="M8" s="323" t="s">
        <v>1438</v>
      </c>
      <c r="N8" s="324">
        <v>1</v>
      </c>
      <c r="O8" s="323">
        <v>43</v>
      </c>
    </row>
    <row r="9" spans="1:15">
      <c r="A9" s="323" t="s">
        <v>1221</v>
      </c>
      <c r="B9" s="323" t="s">
        <v>678</v>
      </c>
      <c r="C9" s="323" t="s">
        <v>817</v>
      </c>
      <c r="D9" s="323" t="s">
        <v>817</v>
      </c>
      <c r="E9" s="323" t="s">
        <v>1222</v>
      </c>
      <c r="F9" s="323" t="s">
        <v>249</v>
      </c>
      <c r="G9" s="323" t="s">
        <v>1203</v>
      </c>
      <c r="H9" s="323" t="s">
        <v>1204</v>
      </c>
      <c r="I9" s="323" t="s">
        <v>184</v>
      </c>
      <c r="J9" s="323" t="s">
        <v>1436</v>
      </c>
      <c r="K9" s="323" t="s">
        <v>1437</v>
      </c>
      <c r="L9" s="323" t="s">
        <v>1205</v>
      </c>
      <c r="M9" s="323" t="s">
        <v>1438</v>
      </c>
      <c r="N9" s="324">
        <v>1</v>
      </c>
      <c r="O9" s="323">
        <v>107</v>
      </c>
    </row>
    <row r="10" spans="1:15">
      <c r="A10" s="323" t="s">
        <v>1257</v>
      </c>
      <c r="B10" s="323" t="s">
        <v>26</v>
      </c>
      <c r="C10" s="323" t="s">
        <v>817</v>
      </c>
      <c r="D10" s="323" t="s">
        <v>817</v>
      </c>
      <c r="E10" s="323" t="s">
        <v>242</v>
      </c>
      <c r="F10" s="323" t="s">
        <v>316</v>
      </c>
      <c r="G10" s="323" t="s">
        <v>1203</v>
      </c>
      <c r="H10" s="323" t="s">
        <v>1249</v>
      </c>
      <c r="I10" s="323" t="s">
        <v>288</v>
      </c>
      <c r="J10" s="323" t="s">
        <v>1436</v>
      </c>
      <c r="K10" s="323" t="s">
        <v>1437</v>
      </c>
      <c r="L10" s="323" t="s">
        <v>1250</v>
      </c>
      <c r="M10" s="323" t="s">
        <v>1438</v>
      </c>
      <c r="N10" s="324">
        <v>1</v>
      </c>
      <c r="O10" s="323">
        <v>38</v>
      </c>
    </row>
    <row r="11" spans="1:15">
      <c r="A11" s="323" t="s">
        <v>1197</v>
      </c>
      <c r="B11" s="323" t="s">
        <v>1198</v>
      </c>
      <c r="C11" s="323" t="s">
        <v>817</v>
      </c>
      <c r="D11" s="323" t="s">
        <v>817</v>
      </c>
      <c r="E11" s="323" t="s">
        <v>1199</v>
      </c>
      <c r="F11" s="323" t="s">
        <v>180</v>
      </c>
      <c r="G11" s="323" t="s">
        <v>1203</v>
      </c>
      <c r="H11" s="323" t="s">
        <v>1187</v>
      </c>
      <c r="I11" s="323" t="s">
        <v>1439</v>
      </c>
      <c r="J11" s="323" t="s">
        <v>1436</v>
      </c>
      <c r="K11" s="323" t="s">
        <v>1437</v>
      </c>
      <c r="L11" s="323" t="s">
        <v>1188</v>
      </c>
      <c r="M11" s="323" t="s">
        <v>1440</v>
      </c>
      <c r="N11" s="324">
        <v>1</v>
      </c>
      <c r="O11" s="323">
        <v>85</v>
      </c>
    </row>
    <row r="12" spans="1:15">
      <c r="A12" s="323" t="s">
        <v>1183</v>
      </c>
      <c r="B12" s="323" t="s">
        <v>1184</v>
      </c>
      <c r="C12" s="323" t="s">
        <v>817</v>
      </c>
      <c r="D12" s="323" t="s">
        <v>817</v>
      </c>
      <c r="E12" s="323" t="s">
        <v>1185</v>
      </c>
      <c r="F12" s="323" t="s">
        <v>165</v>
      </c>
      <c r="G12" s="323" t="s">
        <v>1203</v>
      </c>
      <c r="H12" s="323" t="s">
        <v>1187</v>
      </c>
      <c r="I12" s="323" t="s">
        <v>1439</v>
      </c>
      <c r="J12" s="323" t="s">
        <v>1436</v>
      </c>
      <c r="K12" s="323" t="s">
        <v>1437</v>
      </c>
      <c r="L12" s="323" t="s">
        <v>1188</v>
      </c>
      <c r="M12" s="323" t="s">
        <v>1438</v>
      </c>
      <c r="N12" s="324">
        <v>1</v>
      </c>
      <c r="O12" s="323">
        <v>78</v>
      </c>
    </row>
    <row r="13" spans="1:15">
      <c r="A13" s="323" t="s">
        <v>1209</v>
      </c>
      <c r="B13" s="323" t="s">
        <v>994</v>
      </c>
      <c r="C13" s="323" t="s">
        <v>817</v>
      </c>
      <c r="D13" s="323" t="s">
        <v>817</v>
      </c>
      <c r="E13" s="323" t="s">
        <v>242</v>
      </c>
      <c r="F13" s="323" t="s">
        <v>212</v>
      </c>
      <c r="G13" s="323" t="s">
        <v>1203</v>
      </c>
      <c r="H13" s="323" t="s">
        <v>1204</v>
      </c>
      <c r="I13" s="323" t="s">
        <v>184</v>
      </c>
      <c r="J13" s="323" t="s">
        <v>1436</v>
      </c>
      <c r="K13" s="323" t="s">
        <v>1437</v>
      </c>
      <c r="L13" s="323" t="s">
        <v>1205</v>
      </c>
      <c r="M13" s="323" t="s">
        <v>1438</v>
      </c>
      <c r="N13" s="324">
        <v>1</v>
      </c>
      <c r="O13" s="323">
        <v>112</v>
      </c>
    </row>
    <row r="14" spans="1:15">
      <c r="A14" s="323" t="s">
        <v>1211</v>
      </c>
      <c r="B14" s="323" t="s">
        <v>15</v>
      </c>
      <c r="C14" s="323" t="s">
        <v>817</v>
      </c>
      <c r="D14" s="323" t="s">
        <v>817</v>
      </c>
      <c r="E14" s="323" t="s">
        <v>1212</v>
      </c>
      <c r="F14" s="323" t="s">
        <v>218</v>
      </c>
      <c r="G14" s="323" t="s">
        <v>1203</v>
      </c>
      <c r="H14" s="323" t="s">
        <v>1204</v>
      </c>
      <c r="I14" s="323" t="s">
        <v>184</v>
      </c>
      <c r="J14" s="323" t="s">
        <v>1436</v>
      </c>
      <c r="K14" s="323" t="s">
        <v>1437</v>
      </c>
      <c r="L14" s="323" t="s">
        <v>1205</v>
      </c>
      <c r="M14" s="323" t="s">
        <v>1438</v>
      </c>
      <c r="N14" s="324">
        <v>1</v>
      </c>
      <c r="O14" s="323">
        <v>102</v>
      </c>
    </row>
    <row r="15" spans="1:15">
      <c r="A15" s="323" t="s">
        <v>1217</v>
      </c>
      <c r="B15" s="323" t="s">
        <v>1218</v>
      </c>
      <c r="C15" s="323" t="s">
        <v>817</v>
      </c>
      <c r="D15" s="323" t="s">
        <v>817</v>
      </c>
      <c r="E15" s="323" t="s">
        <v>287</v>
      </c>
      <c r="F15" s="323" t="s">
        <v>237</v>
      </c>
      <c r="G15" s="323" t="s">
        <v>1203</v>
      </c>
      <c r="H15" s="323" t="s">
        <v>1204</v>
      </c>
      <c r="I15" s="323" t="s">
        <v>184</v>
      </c>
      <c r="J15" s="323" t="s">
        <v>1436</v>
      </c>
      <c r="K15" s="323" t="s">
        <v>1437</v>
      </c>
      <c r="L15" s="323" t="s">
        <v>1205</v>
      </c>
      <c r="M15" s="323" t="s">
        <v>1438</v>
      </c>
      <c r="N15" s="324">
        <v>1</v>
      </c>
      <c r="O15" s="323">
        <v>110</v>
      </c>
    </row>
    <row r="16" spans="1:15">
      <c r="A16" s="323" t="s">
        <v>1243</v>
      </c>
      <c r="B16" s="323" t="s">
        <v>1245</v>
      </c>
      <c r="C16" s="323" t="s">
        <v>817</v>
      </c>
      <c r="D16" s="323" t="s">
        <v>817</v>
      </c>
      <c r="E16" s="323" t="s">
        <v>242</v>
      </c>
      <c r="F16" s="323" t="s">
        <v>280</v>
      </c>
      <c r="G16" s="323" t="s">
        <v>1203</v>
      </c>
      <c r="H16" s="323" t="s">
        <v>1204</v>
      </c>
      <c r="I16" s="323" t="s">
        <v>184</v>
      </c>
      <c r="J16" s="323" t="s">
        <v>1436</v>
      </c>
      <c r="K16" s="323" t="s">
        <v>1437</v>
      </c>
      <c r="L16" s="323" t="s">
        <v>1205</v>
      </c>
      <c r="M16" s="323" t="s">
        <v>1438</v>
      </c>
      <c r="N16" s="324">
        <v>1</v>
      </c>
      <c r="O16" s="323">
        <v>100</v>
      </c>
    </row>
    <row r="17" spans="1:15">
      <c r="A17" s="323" t="s">
        <v>1251</v>
      </c>
      <c r="B17" s="323" t="s">
        <v>22</v>
      </c>
      <c r="C17" s="323" t="s">
        <v>817</v>
      </c>
      <c r="D17" s="323" t="s">
        <v>817</v>
      </c>
      <c r="E17" s="323" t="s">
        <v>1185</v>
      </c>
      <c r="F17" s="323" t="s">
        <v>296</v>
      </c>
      <c r="G17" s="323" t="s">
        <v>1203</v>
      </c>
      <c r="H17" s="323" t="s">
        <v>1249</v>
      </c>
      <c r="I17" s="323" t="s">
        <v>288</v>
      </c>
      <c r="J17" s="323" t="s">
        <v>1436</v>
      </c>
      <c r="K17" s="323" t="s">
        <v>1437</v>
      </c>
      <c r="L17" s="323" t="s">
        <v>1250</v>
      </c>
      <c r="M17" s="323" t="s">
        <v>1438</v>
      </c>
      <c r="N17" s="324">
        <v>1</v>
      </c>
      <c r="O17" s="323">
        <v>40</v>
      </c>
    </row>
    <row r="18" spans="1:15">
      <c r="A18" s="323" t="s">
        <v>1253</v>
      </c>
      <c r="B18" s="323" t="s">
        <v>301</v>
      </c>
      <c r="C18" s="323" t="s">
        <v>817</v>
      </c>
      <c r="D18" s="323" t="s">
        <v>817</v>
      </c>
      <c r="E18" s="323" t="s">
        <v>309</v>
      </c>
      <c r="F18" s="323" t="s">
        <v>302</v>
      </c>
      <c r="G18" s="323" t="s">
        <v>1203</v>
      </c>
      <c r="H18" s="323" t="s">
        <v>1249</v>
      </c>
      <c r="I18" s="323" t="s">
        <v>288</v>
      </c>
      <c r="J18" s="323" t="s">
        <v>1436</v>
      </c>
      <c r="K18" s="323" t="s">
        <v>1437</v>
      </c>
      <c r="L18" s="323" t="s">
        <v>1254</v>
      </c>
      <c r="M18" s="323" t="s">
        <v>1438</v>
      </c>
      <c r="N18" s="324">
        <v>1</v>
      </c>
      <c r="O18" s="323">
        <v>49</v>
      </c>
    </row>
    <row r="19" spans="1:15">
      <c r="A19" s="323" t="s">
        <v>1258</v>
      </c>
      <c r="B19" s="323" t="s">
        <v>30</v>
      </c>
      <c r="C19" s="323" t="s">
        <v>817</v>
      </c>
      <c r="D19" s="323" t="s">
        <v>817</v>
      </c>
      <c r="E19" s="323" t="s">
        <v>287</v>
      </c>
      <c r="F19" s="323" t="s">
        <v>321</v>
      </c>
      <c r="G19" s="323" t="s">
        <v>1203</v>
      </c>
      <c r="H19" s="323" t="s">
        <v>1249</v>
      </c>
      <c r="I19" s="323" t="s">
        <v>288</v>
      </c>
      <c r="J19" s="323" t="s">
        <v>1436</v>
      </c>
      <c r="K19" s="323" t="s">
        <v>1437</v>
      </c>
      <c r="L19" s="323" t="s">
        <v>1250</v>
      </c>
      <c r="M19" s="323" t="s">
        <v>1438</v>
      </c>
      <c r="N19" s="324">
        <v>1</v>
      </c>
      <c r="O19" s="323">
        <v>37</v>
      </c>
    </row>
    <row r="20" spans="1:15">
      <c r="A20" s="323" t="s">
        <v>1262</v>
      </c>
      <c r="B20" s="323" t="s">
        <v>1263</v>
      </c>
      <c r="C20" s="323" t="s">
        <v>817</v>
      </c>
      <c r="D20" s="323" t="s">
        <v>817</v>
      </c>
      <c r="E20" s="323" t="s">
        <v>287</v>
      </c>
      <c r="F20" s="323" t="s">
        <v>337</v>
      </c>
      <c r="G20" s="323" t="s">
        <v>1203</v>
      </c>
      <c r="H20" s="323" t="s">
        <v>1249</v>
      </c>
      <c r="I20" s="323" t="s">
        <v>288</v>
      </c>
      <c r="J20" s="323" t="s">
        <v>1436</v>
      </c>
      <c r="K20" s="323" t="s">
        <v>1437</v>
      </c>
      <c r="L20" s="323" t="s">
        <v>1250</v>
      </c>
      <c r="M20" s="323" t="s">
        <v>1438</v>
      </c>
      <c r="N20" s="324">
        <v>1</v>
      </c>
      <c r="O20" s="323">
        <v>41</v>
      </c>
    </row>
    <row r="21" spans="1:15">
      <c r="A21" s="323" t="s">
        <v>1274</v>
      </c>
      <c r="B21" s="323" t="s">
        <v>1275</v>
      </c>
      <c r="C21" s="323" t="s">
        <v>817</v>
      </c>
      <c r="D21" s="323" t="s">
        <v>817</v>
      </c>
      <c r="E21" s="323" t="s">
        <v>1185</v>
      </c>
      <c r="F21" s="323" t="s">
        <v>362</v>
      </c>
      <c r="G21" s="323" t="s">
        <v>1203</v>
      </c>
      <c r="H21" s="323" t="s">
        <v>1249</v>
      </c>
      <c r="I21" s="323" t="s">
        <v>288</v>
      </c>
      <c r="J21" s="323" t="s">
        <v>1436</v>
      </c>
      <c r="K21" s="323" t="s">
        <v>1437</v>
      </c>
      <c r="L21" s="323" t="s">
        <v>1250</v>
      </c>
      <c r="M21" s="323" t="s">
        <v>1438</v>
      </c>
      <c r="N21" s="324">
        <v>1</v>
      </c>
      <c r="O21" s="323">
        <v>35</v>
      </c>
    </row>
    <row r="22" spans="1:15">
      <c r="A22" s="323" t="s">
        <v>1287</v>
      </c>
      <c r="B22" s="323" t="s">
        <v>47</v>
      </c>
      <c r="C22" s="323" t="s">
        <v>817</v>
      </c>
      <c r="D22" s="323" t="s">
        <v>817</v>
      </c>
      <c r="E22" s="323" t="s">
        <v>309</v>
      </c>
      <c r="F22" s="323" t="s">
        <v>386</v>
      </c>
      <c r="G22" s="323" t="s">
        <v>1203</v>
      </c>
      <c r="H22" s="323" t="s">
        <v>1249</v>
      </c>
      <c r="I22" s="323" t="s">
        <v>288</v>
      </c>
      <c r="J22" s="323" t="s">
        <v>1436</v>
      </c>
      <c r="K22" s="323" t="s">
        <v>1437</v>
      </c>
      <c r="L22" s="323" t="s">
        <v>1250</v>
      </c>
      <c r="M22" s="323" t="s">
        <v>1438</v>
      </c>
      <c r="N22" s="324">
        <v>1</v>
      </c>
      <c r="O22" s="323">
        <v>47</v>
      </c>
    </row>
    <row r="23" spans="1:15">
      <c r="A23" s="323" t="s">
        <v>1421</v>
      </c>
      <c r="B23" s="323" t="s">
        <v>107</v>
      </c>
      <c r="C23" s="323" t="s">
        <v>817</v>
      </c>
      <c r="D23" s="323" t="s">
        <v>817</v>
      </c>
      <c r="E23" s="323" t="s">
        <v>242</v>
      </c>
      <c r="F23" s="323" t="s">
        <v>642</v>
      </c>
      <c r="G23" s="323" t="s">
        <v>1203</v>
      </c>
      <c r="H23" s="323" t="s">
        <v>1312</v>
      </c>
      <c r="I23" s="323" t="s">
        <v>29</v>
      </c>
      <c r="J23" s="323" t="s">
        <v>1436</v>
      </c>
      <c r="K23" s="323" t="s">
        <v>1437</v>
      </c>
      <c r="L23" s="323" t="s">
        <v>1313</v>
      </c>
      <c r="M23" s="323" t="s">
        <v>1438</v>
      </c>
      <c r="N23" s="324">
        <v>1</v>
      </c>
      <c r="O23" s="323">
        <v>14</v>
      </c>
    </row>
    <row r="24" spans="1:15">
      <c r="A24" s="323" t="s">
        <v>1424</v>
      </c>
      <c r="B24" s="323" t="s">
        <v>1425</v>
      </c>
      <c r="C24" s="323" t="s">
        <v>817</v>
      </c>
      <c r="D24" s="323" t="s">
        <v>817</v>
      </c>
      <c r="E24" s="323" t="s">
        <v>287</v>
      </c>
      <c r="F24" s="323" t="s">
        <v>647</v>
      </c>
      <c r="G24" s="323" t="s">
        <v>1203</v>
      </c>
      <c r="H24" s="323" t="s">
        <v>1312</v>
      </c>
      <c r="I24" s="323" t="s">
        <v>29</v>
      </c>
      <c r="J24" s="323" t="s">
        <v>1436</v>
      </c>
      <c r="K24" s="323" t="s">
        <v>1437</v>
      </c>
      <c r="L24" s="323" t="s">
        <v>1313</v>
      </c>
      <c r="M24" s="323" t="s">
        <v>1438</v>
      </c>
      <c r="N24" s="324">
        <v>1</v>
      </c>
      <c r="O24" s="323">
        <v>15</v>
      </c>
    </row>
    <row r="25" spans="1:15">
      <c r="A25" s="323" t="s">
        <v>1441</v>
      </c>
      <c r="B25" s="323" t="s">
        <v>52</v>
      </c>
      <c r="C25" s="323" t="s">
        <v>817</v>
      </c>
      <c r="D25" s="323" t="s">
        <v>817</v>
      </c>
      <c r="E25" s="323" t="s">
        <v>1199</v>
      </c>
      <c r="F25" s="323" t="s">
        <v>1442</v>
      </c>
      <c r="G25" s="323" t="s">
        <v>1203</v>
      </c>
      <c r="H25" s="323" t="s">
        <v>1249</v>
      </c>
      <c r="I25" s="323" t="s">
        <v>288</v>
      </c>
      <c r="J25" s="323" t="s">
        <v>1436</v>
      </c>
      <c r="K25" s="323" t="s">
        <v>1437</v>
      </c>
      <c r="L25" s="323" t="s">
        <v>1254</v>
      </c>
      <c r="M25" s="323" t="s">
        <v>1438</v>
      </c>
      <c r="N25" s="324">
        <v>1</v>
      </c>
      <c r="O25" s="323">
        <v>48</v>
      </c>
    </row>
    <row r="26" spans="1:15">
      <c r="A26" s="323" t="s">
        <v>1310</v>
      </c>
      <c r="B26" s="323" t="s">
        <v>1311</v>
      </c>
      <c r="C26" s="323" t="s">
        <v>817</v>
      </c>
      <c r="D26" s="323" t="s">
        <v>817</v>
      </c>
      <c r="E26" s="323" t="s">
        <v>287</v>
      </c>
      <c r="F26" s="323" t="s">
        <v>450</v>
      </c>
      <c r="G26" s="323" t="s">
        <v>1203</v>
      </c>
      <c r="H26" s="323" t="s">
        <v>1312</v>
      </c>
      <c r="I26" s="323" t="s">
        <v>29</v>
      </c>
      <c r="J26" s="323" t="s">
        <v>1436</v>
      </c>
      <c r="K26" s="323" t="s">
        <v>1437</v>
      </c>
      <c r="L26" s="323" t="s">
        <v>1313</v>
      </c>
      <c r="M26" s="323" t="s">
        <v>1438</v>
      </c>
      <c r="N26" s="324">
        <v>1</v>
      </c>
      <c r="O26" s="323">
        <v>76</v>
      </c>
    </row>
    <row r="27" spans="1:15">
      <c r="A27" s="323" t="s">
        <v>1228</v>
      </c>
      <c r="B27" s="323" t="s">
        <v>1229</v>
      </c>
      <c r="C27" s="323" t="s">
        <v>817</v>
      </c>
      <c r="D27" s="323" t="s">
        <v>817</v>
      </c>
      <c r="E27" s="323" t="s">
        <v>1230</v>
      </c>
      <c r="F27" s="323" t="s">
        <v>257</v>
      </c>
      <c r="G27" s="323" t="s">
        <v>1203</v>
      </c>
      <c r="H27" s="323" t="s">
        <v>1204</v>
      </c>
      <c r="I27" s="323" t="s">
        <v>184</v>
      </c>
      <c r="J27" s="323" t="s">
        <v>1436</v>
      </c>
      <c r="K27" s="323" t="s">
        <v>1437</v>
      </c>
      <c r="L27" s="323" t="s">
        <v>1205</v>
      </c>
      <c r="M27" s="323" t="s">
        <v>1438</v>
      </c>
      <c r="N27" s="324">
        <v>1</v>
      </c>
      <c r="O27" s="323">
        <v>104</v>
      </c>
    </row>
    <row r="28" spans="1:15">
      <c r="A28" s="323" t="s">
        <v>1443</v>
      </c>
      <c r="B28" s="323" t="s">
        <v>1444</v>
      </c>
      <c r="C28" s="323" t="s">
        <v>817</v>
      </c>
      <c r="D28" s="323" t="s">
        <v>817</v>
      </c>
      <c r="E28" s="323" t="s">
        <v>287</v>
      </c>
      <c r="F28" s="323" t="s">
        <v>1445</v>
      </c>
      <c r="G28" s="323" t="s">
        <v>1203</v>
      </c>
      <c r="H28" s="323" t="s">
        <v>1312</v>
      </c>
      <c r="I28" s="323" t="s">
        <v>29</v>
      </c>
      <c r="J28" s="323" t="s">
        <v>1436</v>
      </c>
      <c r="K28" s="323" t="s">
        <v>1437</v>
      </c>
      <c r="L28" s="323" t="s">
        <v>1313</v>
      </c>
      <c r="M28" s="323" t="s">
        <v>1438</v>
      </c>
      <c r="N28" s="324">
        <v>1</v>
      </c>
      <c r="O28" s="323">
        <v>113</v>
      </c>
    </row>
    <row r="29" spans="1:15">
      <c r="A29" s="323" t="s">
        <v>1336</v>
      </c>
      <c r="B29" s="323" t="s">
        <v>68</v>
      </c>
      <c r="C29" s="323" t="s">
        <v>1337</v>
      </c>
      <c r="D29" s="323" t="s">
        <v>1338</v>
      </c>
      <c r="E29" s="323" t="s">
        <v>1339</v>
      </c>
      <c r="F29" s="323" t="s">
        <v>500</v>
      </c>
      <c r="G29" s="323" t="s">
        <v>1186</v>
      </c>
      <c r="H29" s="323" t="s">
        <v>1340</v>
      </c>
      <c r="I29" s="323" t="s">
        <v>14</v>
      </c>
      <c r="J29" s="323" t="s">
        <v>1436</v>
      </c>
      <c r="K29" s="323" t="s">
        <v>1437</v>
      </c>
      <c r="L29" s="323" t="s">
        <v>1341</v>
      </c>
      <c r="M29" s="323" t="s">
        <v>1438</v>
      </c>
      <c r="N29" s="324">
        <v>1</v>
      </c>
      <c r="O29" s="323">
        <v>16</v>
      </c>
    </row>
    <row r="30" spans="1:15">
      <c r="A30" s="323" t="s">
        <v>1343</v>
      </c>
      <c r="B30" s="323" t="s">
        <v>1344</v>
      </c>
      <c r="C30" s="323" t="s">
        <v>817</v>
      </c>
      <c r="D30" s="323" t="s">
        <v>817</v>
      </c>
      <c r="E30" s="323" t="s">
        <v>1185</v>
      </c>
      <c r="F30" s="323" t="s">
        <v>504</v>
      </c>
      <c r="G30" s="323" t="s">
        <v>1203</v>
      </c>
      <c r="H30" s="323" t="s">
        <v>1340</v>
      </c>
      <c r="I30" s="323" t="s">
        <v>14</v>
      </c>
      <c r="J30" s="323" t="s">
        <v>1436</v>
      </c>
      <c r="K30" s="323" t="s">
        <v>1437</v>
      </c>
      <c r="L30" s="323" t="s">
        <v>1341</v>
      </c>
      <c r="M30" s="323" t="s">
        <v>1438</v>
      </c>
      <c r="N30" s="324">
        <v>1</v>
      </c>
      <c r="O30" s="323">
        <v>18</v>
      </c>
    </row>
    <row r="31" spans="1:15">
      <c r="A31" s="323" t="s">
        <v>1446</v>
      </c>
      <c r="B31" s="323" t="s">
        <v>1037</v>
      </c>
      <c r="C31" s="323" t="s">
        <v>1232</v>
      </c>
      <c r="D31" s="323" t="s">
        <v>1233</v>
      </c>
      <c r="E31" s="323" t="s">
        <v>1368</v>
      </c>
      <c r="F31" s="323" t="s">
        <v>510</v>
      </c>
      <c r="G31" s="323" t="s">
        <v>1186</v>
      </c>
      <c r="H31" s="323" t="s">
        <v>1340</v>
      </c>
      <c r="I31" s="323" t="s">
        <v>14</v>
      </c>
      <c r="J31" s="323" t="s">
        <v>1436</v>
      </c>
      <c r="K31" s="323" t="s">
        <v>1437</v>
      </c>
      <c r="L31" s="323" t="s">
        <v>1341</v>
      </c>
      <c r="M31" s="323" t="s">
        <v>1440</v>
      </c>
      <c r="N31" s="324">
        <v>1</v>
      </c>
      <c r="O31" s="323">
        <v>17</v>
      </c>
    </row>
    <row r="32" spans="1:15">
      <c r="A32" s="323" t="s">
        <v>1348</v>
      </c>
      <c r="B32" s="323" t="s">
        <v>512</v>
      </c>
      <c r="C32" s="323" t="s">
        <v>817</v>
      </c>
      <c r="D32" s="323" t="s">
        <v>817</v>
      </c>
      <c r="E32" s="323" t="s">
        <v>287</v>
      </c>
      <c r="F32" s="323" t="s">
        <v>513</v>
      </c>
      <c r="G32" s="323" t="s">
        <v>1203</v>
      </c>
      <c r="H32" s="323" t="s">
        <v>1340</v>
      </c>
      <c r="I32" s="323" t="s">
        <v>14</v>
      </c>
      <c r="J32" s="323" t="s">
        <v>1436</v>
      </c>
      <c r="K32" s="323" t="s">
        <v>1437</v>
      </c>
      <c r="L32" s="323" t="s">
        <v>1341</v>
      </c>
      <c r="M32" s="323" t="s">
        <v>1438</v>
      </c>
      <c r="N32" s="324">
        <v>1</v>
      </c>
      <c r="O32" s="323">
        <v>20</v>
      </c>
    </row>
    <row r="33" spans="1:15">
      <c r="A33" s="323" t="s">
        <v>1333</v>
      </c>
      <c r="B33" s="323" t="s">
        <v>1334</v>
      </c>
      <c r="C33" s="323" t="s">
        <v>817</v>
      </c>
      <c r="D33" s="323" t="s">
        <v>817</v>
      </c>
      <c r="E33" s="323" t="s">
        <v>242</v>
      </c>
      <c r="F33" s="323" t="s">
        <v>493</v>
      </c>
      <c r="G33" s="323" t="s">
        <v>1203</v>
      </c>
      <c r="H33" s="323" t="s">
        <v>1330</v>
      </c>
      <c r="I33" s="323" t="s">
        <v>10</v>
      </c>
      <c r="J33" s="323" t="s">
        <v>1436</v>
      </c>
      <c r="K33" s="323" t="s">
        <v>1437</v>
      </c>
      <c r="L33" s="323" t="s">
        <v>1331</v>
      </c>
      <c r="M33" s="323" t="s">
        <v>1438</v>
      </c>
      <c r="N33" s="324">
        <v>1</v>
      </c>
      <c r="O33" s="323">
        <v>31</v>
      </c>
    </row>
    <row r="34" spans="1:15">
      <c r="A34" s="323" t="s">
        <v>1327</v>
      </c>
      <c r="B34" s="323" t="s">
        <v>1328</v>
      </c>
      <c r="C34" s="323" t="s">
        <v>817</v>
      </c>
      <c r="D34" s="323" t="s">
        <v>817</v>
      </c>
      <c r="E34" s="323" t="s">
        <v>1329</v>
      </c>
      <c r="F34" s="323" t="s">
        <v>488</v>
      </c>
      <c r="G34" s="323" t="s">
        <v>1186</v>
      </c>
      <c r="H34" s="323" t="s">
        <v>1330</v>
      </c>
      <c r="I34" s="323" t="s">
        <v>10</v>
      </c>
      <c r="J34" s="323" t="s">
        <v>1436</v>
      </c>
      <c r="K34" s="323" t="s">
        <v>1437</v>
      </c>
      <c r="L34" s="323" t="s">
        <v>1331</v>
      </c>
      <c r="M34" s="323" t="s">
        <v>1438</v>
      </c>
      <c r="N34" s="324">
        <v>1</v>
      </c>
      <c r="O34" s="323">
        <v>32</v>
      </c>
    </row>
    <row r="35" spans="1:15">
      <c r="A35" s="323" t="s">
        <v>1292</v>
      </c>
      <c r="B35" s="323" t="s">
        <v>955</v>
      </c>
      <c r="C35" s="323" t="s">
        <v>817</v>
      </c>
      <c r="D35" s="323" t="s">
        <v>817</v>
      </c>
      <c r="E35" s="323" t="s">
        <v>287</v>
      </c>
      <c r="F35" s="323" t="s">
        <v>402</v>
      </c>
      <c r="G35" s="323" t="s">
        <v>1203</v>
      </c>
      <c r="H35" s="323" t="s">
        <v>1293</v>
      </c>
      <c r="I35" s="323" t="s">
        <v>400</v>
      </c>
      <c r="J35" s="323" t="s">
        <v>1436</v>
      </c>
      <c r="K35" s="323" t="s">
        <v>1437</v>
      </c>
      <c r="L35" s="323" t="s">
        <v>1294</v>
      </c>
      <c r="M35" s="323" t="s">
        <v>1438</v>
      </c>
      <c r="N35" s="324">
        <v>1</v>
      </c>
      <c r="O35" s="323">
        <v>22</v>
      </c>
    </row>
    <row r="36" spans="1:15">
      <c r="A36" s="323" t="s">
        <v>1295</v>
      </c>
      <c r="B36" s="323" t="s">
        <v>407</v>
      </c>
      <c r="C36" s="323" t="s">
        <v>817</v>
      </c>
      <c r="D36" s="323" t="s">
        <v>817</v>
      </c>
      <c r="E36" s="323" t="s">
        <v>287</v>
      </c>
      <c r="F36" s="323" t="s">
        <v>408</v>
      </c>
      <c r="G36" s="323" t="s">
        <v>1203</v>
      </c>
      <c r="H36" s="323" t="s">
        <v>1293</v>
      </c>
      <c r="I36" s="323" t="s">
        <v>400</v>
      </c>
      <c r="J36" s="323" t="s">
        <v>1436</v>
      </c>
      <c r="K36" s="323" t="s">
        <v>1437</v>
      </c>
      <c r="L36" s="323" t="s">
        <v>1294</v>
      </c>
      <c r="M36" s="323" t="s">
        <v>1438</v>
      </c>
      <c r="N36" s="324">
        <v>1</v>
      </c>
      <c r="O36" s="323">
        <v>25</v>
      </c>
    </row>
    <row r="37" spans="1:15">
      <c r="A37" s="323" t="s">
        <v>1380</v>
      </c>
      <c r="B37" s="323" t="s">
        <v>573</v>
      </c>
      <c r="C37" s="323" t="s">
        <v>817</v>
      </c>
      <c r="D37" s="323" t="s">
        <v>817</v>
      </c>
      <c r="E37" s="323" t="s">
        <v>287</v>
      </c>
      <c r="F37" s="323" t="s">
        <v>574</v>
      </c>
      <c r="G37" s="323" t="s">
        <v>1203</v>
      </c>
      <c r="H37" s="323" t="s">
        <v>1372</v>
      </c>
      <c r="I37" s="323" t="s">
        <v>21</v>
      </c>
      <c r="J37" s="323" t="s">
        <v>1436</v>
      </c>
      <c r="K37" s="323" t="s">
        <v>1437</v>
      </c>
      <c r="L37" s="323" t="s">
        <v>1373</v>
      </c>
      <c r="M37" s="323" t="s">
        <v>1438</v>
      </c>
      <c r="N37" s="324">
        <v>1</v>
      </c>
      <c r="O37" s="323">
        <v>56</v>
      </c>
    </row>
    <row r="38" spans="1:15">
      <c r="A38" s="323" t="s">
        <v>1447</v>
      </c>
      <c r="B38" s="323" t="s">
        <v>1448</v>
      </c>
      <c r="C38" s="323" t="s">
        <v>1337</v>
      </c>
      <c r="D38" s="323" t="s">
        <v>1338</v>
      </c>
      <c r="E38" s="323" t="s">
        <v>1449</v>
      </c>
      <c r="F38" s="323" t="s">
        <v>1450</v>
      </c>
      <c r="G38" s="323" t="s">
        <v>1186</v>
      </c>
      <c r="H38" s="323" t="s">
        <v>1372</v>
      </c>
      <c r="I38" s="323" t="s">
        <v>21</v>
      </c>
      <c r="J38" s="323" t="s">
        <v>1436</v>
      </c>
      <c r="K38" s="323" t="s">
        <v>1437</v>
      </c>
      <c r="L38" s="323" t="s">
        <v>1373</v>
      </c>
      <c r="M38" s="323" t="s">
        <v>1440</v>
      </c>
      <c r="N38" s="324">
        <v>1</v>
      </c>
      <c r="O38" s="323">
        <v>62</v>
      </c>
    </row>
    <row r="39" spans="1:15">
      <c r="A39" s="323" t="s">
        <v>1378</v>
      </c>
      <c r="B39" s="323" t="s">
        <v>1379</v>
      </c>
      <c r="C39" s="323" t="s">
        <v>817</v>
      </c>
      <c r="D39" s="323" t="s">
        <v>817</v>
      </c>
      <c r="E39" s="323" t="s">
        <v>242</v>
      </c>
      <c r="F39" s="323" t="s">
        <v>570</v>
      </c>
      <c r="G39" s="323" t="s">
        <v>1203</v>
      </c>
      <c r="H39" s="323" t="s">
        <v>1372</v>
      </c>
      <c r="I39" s="323" t="s">
        <v>21</v>
      </c>
      <c r="J39" s="323" t="s">
        <v>1436</v>
      </c>
      <c r="K39" s="323" t="s">
        <v>1437</v>
      </c>
      <c r="L39" s="323" t="s">
        <v>1373</v>
      </c>
      <c r="M39" s="323" t="s">
        <v>1438</v>
      </c>
      <c r="N39" s="324">
        <v>1</v>
      </c>
      <c r="O39" s="323">
        <v>59</v>
      </c>
    </row>
    <row r="40" spans="1:15">
      <c r="A40" s="323" t="s">
        <v>1297</v>
      </c>
      <c r="B40" s="323" t="s">
        <v>961</v>
      </c>
      <c r="C40" s="323" t="s">
        <v>817</v>
      </c>
      <c r="D40" s="323" t="s">
        <v>817</v>
      </c>
      <c r="E40" s="323" t="s">
        <v>287</v>
      </c>
      <c r="F40" s="323" t="s">
        <v>413</v>
      </c>
      <c r="G40" s="323" t="s">
        <v>1203</v>
      </c>
      <c r="H40" s="323" t="s">
        <v>1293</v>
      </c>
      <c r="I40" s="323" t="s">
        <v>400</v>
      </c>
      <c r="J40" s="323" t="s">
        <v>1436</v>
      </c>
      <c r="K40" s="323" t="s">
        <v>1437</v>
      </c>
      <c r="L40" s="323" t="s">
        <v>1294</v>
      </c>
      <c r="M40" s="323" t="s">
        <v>1438</v>
      </c>
      <c r="N40" s="324">
        <v>1</v>
      </c>
      <c r="O40" s="323">
        <v>23</v>
      </c>
    </row>
    <row r="41" spans="1:15">
      <c r="A41" s="323" t="s">
        <v>1299</v>
      </c>
      <c r="B41" s="323" t="s">
        <v>1003</v>
      </c>
      <c r="C41" s="323" t="s">
        <v>817</v>
      </c>
      <c r="D41" s="323" t="s">
        <v>817</v>
      </c>
      <c r="E41" s="323" t="s">
        <v>1279</v>
      </c>
      <c r="F41" s="323" t="s">
        <v>419</v>
      </c>
      <c r="G41" s="323" t="s">
        <v>1203</v>
      </c>
      <c r="H41" s="323" t="s">
        <v>1293</v>
      </c>
      <c r="I41" s="323" t="s">
        <v>400</v>
      </c>
      <c r="J41" s="323" t="s">
        <v>1436</v>
      </c>
      <c r="K41" s="323" t="s">
        <v>1437</v>
      </c>
      <c r="L41" s="323" t="s">
        <v>1294</v>
      </c>
      <c r="M41" s="323" t="s">
        <v>1438</v>
      </c>
      <c r="N41" s="324">
        <v>1</v>
      </c>
      <c r="O41" s="323">
        <v>30</v>
      </c>
    </row>
    <row r="42" spans="1:15">
      <c r="A42" s="323" t="s">
        <v>1301</v>
      </c>
      <c r="B42" s="323" t="s">
        <v>997</v>
      </c>
      <c r="C42" s="323" t="s">
        <v>817</v>
      </c>
      <c r="D42" s="323" t="s">
        <v>817</v>
      </c>
      <c r="E42" s="323" t="s">
        <v>242</v>
      </c>
      <c r="F42" s="323" t="s">
        <v>424</v>
      </c>
      <c r="G42" s="323" t="s">
        <v>1203</v>
      </c>
      <c r="H42" s="323" t="s">
        <v>1293</v>
      </c>
      <c r="I42" s="323" t="s">
        <v>400</v>
      </c>
      <c r="J42" s="323" t="s">
        <v>1436</v>
      </c>
      <c r="K42" s="323" t="s">
        <v>1437</v>
      </c>
      <c r="L42" s="323" t="s">
        <v>1294</v>
      </c>
      <c r="M42" s="323" t="s">
        <v>1438</v>
      </c>
      <c r="N42" s="324">
        <v>1</v>
      </c>
      <c r="O42" s="323">
        <v>21</v>
      </c>
    </row>
    <row r="43" spans="1:15">
      <c r="A43" s="323" t="s">
        <v>1304</v>
      </c>
      <c r="B43" s="323" t="s">
        <v>967</v>
      </c>
      <c r="C43" s="323" t="s">
        <v>817</v>
      </c>
      <c r="D43" s="323" t="s">
        <v>817</v>
      </c>
      <c r="E43" s="323" t="s">
        <v>287</v>
      </c>
      <c r="F43" s="323" t="s">
        <v>435</v>
      </c>
      <c r="G43" s="323" t="s">
        <v>1203</v>
      </c>
      <c r="H43" s="323" t="s">
        <v>1293</v>
      </c>
      <c r="I43" s="323" t="s">
        <v>400</v>
      </c>
      <c r="J43" s="323" t="s">
        <v>1436</v>
      </c>
      <c r="K43" s="323" t="s">
        <v>1437</v>
      </c>
      <c r="L43" s="323" t="s">
        <v>1294</v>
      </c>
      <c r="M43" s="323" t="s">
        <v>1438</v>
      </c>
      <c r="N43" s="324">
        <v>1</v>
      </c>
      <c r="O43" s="323">
        <v>26</v>
      </c>
    </row>
    <row r="44" spans="1:15">
      <c r="A44" s="323" t="s">
        <v>1315</v>
      </c>
      <c r="B44" s="323" t="s">
        <v>977</v>
      </c>
      <c r="C44" s="323" t="s">
        <v>817</v>
      </c>
      <c r="D44" s="323" t="s">
        <v>817</v>
      </c>
      <c r="E44" s="323" t="s">
        <v>287</v>
      </c>
      <c r="F44" s="323" t="s">
        <v>457</v>
      </c>
      <c r="G44" s="323" t="s">
        <v>1203</v>
      </c>
      <c r="H44" s="323" t="s">
        <v>1316</v>
      </c>
      <c r="I44" s="323" t="s">
        <v>448</v>
      </c>
      <c r="J44" s="323" t="s">
        <v>1436</v>
      </c>
      <c r="K44" s="323" t="s">
        <v>1437</v>
      </c>
      <c r="L44" s="323" t="s">
        <v>1317</v>
      </c>
      <c r="M44" s="323" t="s">
        <v>1438</v>
      </c>
      <c r="N44" s="324">
        <v>1</v>
      </c>
      <c r="O44" s="323">
        <v>73</v>
      </c>
    </row>
    <row r="45" spans="1:15">
      <c r="A45" s="323" t="s">
        <v>1381</v>
      </c>
      <c r="B45" s="323" t="s">
        <v>84</v>
      </c>
      <c r="C45" s="323" t="s">
        <v>817</v>
      </c>
      <c r="D45" s="323" t="s">
        <v>817</v>
      </c>
      <c r="E45" s="323" t="s">
        <v>287</v>
      </c>
      <c r="F45" s="323" t="s">
        <v>575</v>
      </c>
      <c r="G45" s="323" t="s">
        <v>1203</v>
      </c>
      <c r="H45" s="323" t="s">
        <v>1372</v>
      </c>
      <c r="I45" s="323" t="s">
        <v>21</v>
      </c>
      <c r="J45" s="323" t="s">
        <v>1436</v>
      </c>
      <c r="K45" s="323" t="s">
        <v>1437</v>
      </c>
      <c r="L45" s="323" t="s">
        <v>1373</v>
      </c>
      <c r="M45" s="323" t="s">
        <v>1438</v>
      </c>
      <c r="N45" s="324">
        <v>1</v>
      </c>
      <c r="O45" s="323">
        <v>60</v>
      </c>
    </row>
    <row r="46" spans="1:15">
      <c r="A46" s="323" t="s">
        <v>1451</v>
      </c>
      <c r="B46" s="323" t="s">
        <v>1452</v>
      </c>
      <c r="C46" s="323" t="s">
        <v>817</v>
      </c>
      <c r="D46" s="323" t="s">
        <v>817</v>
      </c>
      <c r="E46" s="323" t="s">
        <v>242</v>
      </c>
      <c r="F46" s="323" t="s">
        <v>1453</v>
      </c>
      <c r="G46" s="323" t="s">
        <v>1186</v>
      </c>
      <c r="H46" s="323" t="s">
        <v>1372</v>
      </c>
      <c r="I46" s="323" t="s">
        <v>21</v>
      </c>
      <c r="J46" s="323" t="s">
        <v>1436</v>
      </c>
      <c r="K46" s="323" t="s">
        <v>1437</v>
      </c>
      <c r="L46" s="323" t="s">
        <v>1373</v>
      </c>
      <c r="M46" s="323" t="s">
        <v>1438</v>
      </c>
      <c r="N46" s="324">
        <v>1</v>
      </c>
      <c r="O46" s="323">
        <v>61</v>
      </c>
    </row>
    <row r="47" spans="1:15">
      <c r="A47" s="323" t="s">
        <v>1371</v>
      </c>
      <c r="B47" s="323" t="s">
        <v>552</v>
      </c>
      <c r="C47" s="323" t="s">
        <v>817</v>
      </c>
      <c r="D47" s="323" t="s">
        <v>817</v>
      </c>
      <c r="E47" s="323" t="s">
        <v>287</v>
      </c>
      <c r="F47" s="323" t="s">
        <v>553</v>
      </c>
      <c r="G47" s="323" t="s">
        <v>1203</v>
      </c>
      <c r="H47" s="323" t="s">
        <v>1372</v>
      </c>
      <c r="I47" s="323" t="s">
        <v>21</v>
      </c>
      <c r="J47" s="323" t="s">
        <v>1436</v>
      </c>
      <c r="K47" s="323" t="s">
        <v>1437</v>
      </c>
      <c r="L47" s="323" t="s">
        <v>1373</v>
      </c>
      <c r="M47" s="323" t="s">
        <v>1438</v>
      </c>
      <c r="N47" s="324">
        <v>1</v>
      </c>
      <c r="O47" s="323">
        <v>58</v>
      </c>
    </row>
    <row r="48" spans="1:15">
      <c r="A48" s="323" t="s">
        <v>1362</v>
      </c>
      <c r="B48" s="323" t="s">
        <v>533</v>
      </c>
      <c r="C48" s="323" t="s">
        <v>817</v>
      </c>
      <c r="D48" s="323" t="s">
        <v>817</v>
      </c>
      <c r="E48" s="323" t="s">
        <v>1230</v>
      </c>
      <c r="F48" s="323" t="s">
        <v>534</v>
      </c>
      <c r="G48" s="323" t="s">
        <v>1203</v>
      </c>
      <c r="H48" s="323" t="s">
        <v>1353</v>
      </c>
      <c r="I48" s="323" t="s">
        <v>18</v>
      </c>
      <c r="J48" s="323" t="s">
        <v>1436</v>
      </c>
      <c r="K48" s="323" t="s">
        <v>1437</v>
      </c>
      <c r="L48" s="323" t="s">
        <v>1354</v>
      </c>
      <c r="M48" s="323" t="s">
        <v>1440</v>
      </c>
      <c r="N48" s="324">
        <v>1</v>
      </c>
      <c r="O48" s="323">
        <v>68</v>
      </c>
    </row>
    <row r="49" spans="1:15">
      <c r="A49" s="323" t="s">
        <v>1367</v>
      </c>
      <c r="B49" s="323" t="s">
        <v>1092</v>
      </c>
      <c r="C49" s="323" t="s">
        <v>1232</v>
      </c>
      <c r="D49" s="323" t="s">
        <v>1233</v>
      </c>
      <c r="E49" s="323" t="s">
        <v>1368</v>
      </c>
      <c r="F49" s="323" t="s">
        <v>544</v>
      </c>
      <c r="G49" s="323" t="s">
        <v>1186</v>
      </c>
      <c r="H49" s="323" t="s">
        <v>1353</v>
      </c>
      <c r="I49" s="323" t="s">
        <v>18</v>
      </c>
      <c r="J49" s="323" t="s">
        <v>1436</v>
      </c>
      <c r="K49" s="323" t="s">
        <v>1437</v>
      </c>
      <c r="L49" s="323" t="s">
        <v>1354</v>
      </c>
      <c r="M49" s="323" t="s">
        <v>1440</v>
      </c>
      <c r="N49" s="324">
        <v>1</v>
      </c>
      <c r="O49" s="323">
        <v>72</v>
      </c>
    </row>
    <row r="50" spans="1:15">
      <c r="A50" s="323" t="s">
        <v>1363</v>
      </c>
      <c r="B50" s="323" t="s">
        <v>1365</v>
      </c>
      <c r="C50" s="323" t="s">
        <v>817</v>
      </c>
      <c r="D50" s="323" t="s">
        <v>817</v>
      </c>
      <c r="E50" s="323" t="s">
        <v>287</v>
      </c>
      <c r="F50" s="323" t="s">
        <v>539</v>
      </c>
      <c r="G50" s="323" t="s">
        <v>1203</v>
      </c>
      <c r="H50" s="323" t="s">
        <v>1353</v>
      </c>
      <c r="I50" s="323" t="s">
        <v>18</v>
      </c>
      <c r="J50" s="323" t="s">
        <v>1436</v>
      </c>
      <c r="K50" s="323" t="s">
        <v>1437</v>
      </c>
      <c r="L50" s="323" t="s">
        <v>1354</v>
      </c>
      <c r="M50" s="323" t="s">
        <v>1438</v>
      </c>
      <c r="N50" s="324">
        <v>1</v>
      </c>
      <c r="O50" s="323">
        <v>69</v>
      </c>
    </row>
    <row r="51" spans="1:15">
      <c r="A51" s="323" t="s">
        <v>1400</v>
      </c>
      <c r="B51" s="323" t="s">
        <v>1401</v>
      </c>
      <c r="C51" s="323" t="s">
        <v>817</v>
      </c>
      <c r="D51" s="323" t="s">
        <v>817</v>
      </c>
      <c r="E51" s="323" t="s">
        <v>1185</v>
      </c>
      <c r="F51" s="323" t="s">
        <v>607</v>
      </c>
      <c r="G51" s="323" t="s">
        <v>1203</v>
      </c>
      <c r="H51" s="323" t="s">
        <v>1387</v>
      </c>
      <c r="I51" s="323" t="s">
        <v>25</v>
      </c>
      <c r="J51" s="323" t="s">
        <v>1436</v>
      </c>
      <c r="K51" s="323" t="s">
        <v>1437</v>
      </c>
      <c r="L51" s="323" t="s">
        <v>1388</v>
      </c>
      <c r="M51" s="323" t="s">
        <v>1438</v>
      </c>
      <c r="N51" s="324">
        <v>1</v>
      </c>
      <c r="O51" s="323">
        <v>88</v>
      </c>
    </row>
    <row r="52" spans="1:15">
      <c r="A52" s="323" t="s">
        <v>1415</v>
      </c>
      <c r="B52" s="323" t="s">
        <v>1416</v>
      </c>
      <c r="C52" s="323" t="s">
        <v>817</v>
      </c>
      <c r="D52" s="323" t="s">
        <v>817</v>
      </c>
      <c r="E52" s="323" t="s">
        <v>1199</v>
      </c>
      <c r="F52" s="323" t="s">
        <v>628</v>
      </c>
      <c r="G52" s="323" t="s">
        <v>1203</v>
      </c>
      <c r="H52" s="323" t="s">
        <v>1387</v>
      </c>
      <c r="I52" s="323" t="s">
        <v>25</v>
      </c>
      <c r="J52" s="323" t="s">
        <v>1436</v>
      </c>
      <c r="K52" s="323" t="s">
        <v>1437</v>
      </c>
      <c r="L52" s="323" t="s">
        <v>1388</v>
      </c>
      <c r="M52" s="323" t="s">
        <v>1440</v>
      </c>
      <c r="N52" s="324">
        <v>1</v>
      </c>
      <c r="O52" s="323">
        <v>89</v>
      </c>
    </row>
    <row r="53" spans="1:15">
      <c r="A53" s="323" t="s">
        <v>1395</v>
      </c>
      <c r="B53" s="323" t="s">
        <v>1396</v>
      </c>
      <c r="C53" s="323" t="s">
        <v>817</v>
      </c>
      <c r="D53" s="323" t="s">
        <v>817</v>
      </c>
      <c r="E53" s="323" t="s">
        <v>287</v>
      </c>
      <c r="F53" s="323" t="s">
        <v>596</v>
      </c>
      <c r="G53" s="323" t="s">
        <v>1203</v>
      </c>
      <c r="H53" s="323" t="s">
        <v>1387</v>
      </c>
      <c r="I53" s="323" t="s">
        <v>25</v>
      </c>
      <c r="J53" s="323" t="s">
        <v>1436</v>
      </c>
      <c r="K53" s="323" t="s">
        <v>1437</v>
      </c>
      <c r="L53" s="323" t="s">
        <v>1388</v>
      </c>
      <c r="M53" s="323" t="s">
        <v>1438</v>
      </c>
      <c r="N53" s="324">
        <v>1</v>
      </c>
      <c r="O53" s="323">
        <v>95</v>
      </c>
    </row>
    <row r="54" spans="1:15">
      <c r="A54" s="323" t="s">
        <v>1398</v>
      </c>
      <c r="B54" s="323" t="s">
        <v>1399</v>
      </c>
      <c r="C54" s="323" t="s">
        <v>817</v>
      </c>
      <c r="D54" s="323" t="s">
        <v>817</v>
      </c>
      <c r="E54" s="323" t="s">
        <v>1185</v>
      </c>
      <c r="F54" s="323" t="s">
        <v>601</v>
      </c>
      <c r="G54" s="323" t="s">
        <v>1203</v>
      </c>
      <c r="H54" s="323" t="s">
        <v>1387</v>
      </c>
      <c r="I54" s="323" t="s">
        <v>25</v>
      </c>
      <c r="J54" s="323" t="s">
        <v>1436</v>
      </c>
      <c r="K54" s="323" t="s">
        <v>1437</v>
      </c>
      <c r="L54" s="323" t="s">
        <v>1388</v>
      </c>
      <c r="M54" s="323" t="s">
        <v>1438</v>
      </c>
      <c r="N54" s="324">
        <v>1</v>
      </c>
      <c r="O54" s="323">
        <v>94</v>
      </c>
    </row>
    <row r="55" spans="1:15">
      <c r="A55" s="323" t="s">
        <v>1402</v>
      </c>
      <c r="B55" s="323" t="s">
        <v>1403</v>
      </c>
      <c r="C55" s="323" t="s">
        <v>817</v>
      </c>
      <c r="D55" s="323" t="s">
        <v>817</v>
      </c>
      <c r="E55" s="323" t="s">
        <v>1222</v>
      </c>
      <c r="F55" s="323" t="s">
        <v>610</v>
      </c>
      <c r="G55" s="323" t="s">
        <v>1203</v>
      </c>
      <c r="H55" s="323" t="s">
        <v>1387</v>
      </c>
      <c r="I55" s="323" t="s">
        <v>25</v>
      </c>
      <c r="J55" s="323" t="s">
        <v>1436</v>
      </c>
      <c r="K55" s="323" t="s">
        <v>1437</v>
      </c>
      <c r="L55" s="323" t="s">
        <v>1388</v>
      </c>
      <c r="M55" s="323" t="s">
        <v>1438</v>
      </c>
      <c r="N55" s="324">
        <v>1</v>
      </c>
      <c r="O55" s="323">
        <v>93</v>
      </c>
    </row>
    <row r="56" spans="1:15">
      <c r="A56" s="323" t="s">
        <v>1405</v>
      </c>
      <c r="B56" s="323" t="s">
        <v>1406</v>
      </c>
      <c r="C56" s="323" t="s">
        <v>817</v>
      </c>
      <c r="D56" s="323" t="s">
        <v>817</v>
      </c>
      <c r="E56" s="323" t="s">
        <v>1199</v>
      </c>
      <c r="F56" s="323" t="s">
        <v>615</v>
      </c>
      <c r="G56" s="323" t="s">
        <v>1203</v>
      </c>
      <c r="H56" s="323" t="s">
        <v>1387</v>
      </c>
      <c r="I56" s="323" t="s">
        <v>25</v>
      </c>
      <c r="J56" s="323" t="s">
        <v>1436</v>
      </c>
      <c r="K56" s="323" t="s">
        <v>1437</v>
      </c>
      <c r="L56" s="323" t="s">
        <v>1388</v>
      </c>
      <c r="M56" s="323" t="s">
        <v>1438</v>
      </c>
      <c r="N56" s="324">
        <v>1</v>
      </c>
      <c r="O56" s="323">
        <v>91</v>
      </c>
    </row>
    <row r="57" spans="1:15">
      <c r="A57" s="323" t="s">
        <v>1413</v>
      </c>
      <c r="B57" s="323" t="s">
        <v>1414</v>
      </c>
      <c r="C57" s="323" t="s">
        <v>817</v>
      </c>
      <c r="D57" s="323" t="s">
        <v>817</v>
      </c>
      <c r="E57" s="323" t="s">
        <v>242</v>
      </c>
      <c r="F57" s="323" t="s">
        <v>627</v>
      </c>
      <c r="G57" s="323" t="s">
        <v>1203</v>
      </c>
      <c r="H57" s="323" t="s">
        <v>1387</v>
      </c>
      <c r="I57" s="323" t="s">
        <v>25</v>
      </c>
      <c r="J57" s="323" t="s">
        <v>1436</v>
      </c>
      <c r="K57" s="323" t="s">
        <v>1437</v>
      </c>
      <c r="L57" s="323" t="s">
        <v>1388</v>
      </c>
      <c r="M57" s="323" t="s">
        <v>1438</v>
      </c>
      <c r="N57" s="324">
        <v>1</v>
      </c>
      <c r="O57" s="323">
        <v>92</v>
      </c>
    </row>
    <row r="58" spans="1:15">
      <c r="A58" s="323" t="s">
        <v>1225</v>
      </c>
      <c r="B58" s="323" t="s">
        <v>1226</v>
      </c>
      <c r="C58" s="323" t="s">
        <v>817</v>
      </c>
      <c r="D58" s="323" t="s">
        <v>817</v>
      </c>
      <c r="E58" s="323" t="s">
        <v>287</v>
      </c>
      <c r="F58" s="323" t="s">
        <v>255</v>
      </c>
      <c r="G58" s="323" t="s">
        <v>1186</v>
      </c>
      <c r="H58" s="323" t="s">
        <v>1204</v>
      </c>
      <c r="I58" s="323" t="s">
        <v>184</v>
      </c>
      <c r="J58" s="323" t="s">
        <v>1436</v>
      </c>
      <c r="K58" s="323" t="s">
        <v>1437</v>
      </c>
      <c r="L58" s="323" t="s">
        <v>1205</v>
      </c>
      <c r="M58" s="323" t="s">
        <v>1438</v>
      </c>
      <c r="N58" s="324">
        <v>1</v>
      </c>
      <c r="O58" s="323">
        <v>111</v>
      </c>
    </row>
    <row r="59" spans="1:15">
      <c r="A59" s="323" t="s">
        <v>1239</v>
      </c>
      <c r="B59" s="323" t="s">
        <v>1240</v>
      </c>
      <c r="C59" s="323" t="s">
        <v>821</v>
      </c>
      <c r="D59" s="323" t="s">
        <v>1233</v>
      </c>
      <c r="E59" s="323" t="s">
        <v>1241</v>
      </c>
      <c r="F59" s="323" t="s">
        <v>274</v>
      </c>
      <c r="G59" s="323" t="s">
        <v>1203</v>
      </c>
      <c r="H59" s="323" t="s">
        <v>1204</v>
      </c>
      <c r="I59" s="323" t="s">
        <v>184</v>
      </c>
      <c r="J59" s="323" t="s">
        <v>1436</v>
      </c>
      <c r="K59" s="323" t="s">
        <v>1437</v>
      </c>
      <c r="L59" s="323" t="s">
        <v>1205</v>
      </c>
      <c r="M59" s="323" t="s">
        <v>1440</v>
      </c>
      <c r="N59" s="324">
        <v>1</v>
      </c>
      <c r="O59" s="323">
        <v>101</v>
      </c>
    </row>
    <row r="60" spans="1:15">
      <c r="A60" s="323" t="s">
        <v>1318</v>
      </c>
      <c r="B60" s="323" t="s">
        <v>58</v>
      </c>
      <c r="C60" s="323" t="s">
        <v>817</v>
      </c>
      <c r="D60" s="323" t="s">
        <v>817</v>
      </c>
      <c r="E60" s="323" t="s">
        <v>287</v>
      </c>
      <c r="F60" s="323" t="s">
        <v>462</v>
      </c>
      <c r="G60" s="323" t="s">
        <v>1203</v>
      </c>
      <c r="H60" s="323" t="s">
        <v>1316</v>
      </c>
      <c r="I60" s="323" t="s">
        <v>448</v>
      </c>
      <c r="J60" s="323" t="s">
        <v>1436</v>
      </c>
      <c r="K60" s="323" t="s">
        <v>1437</v>
      </c>
      <c r="L60" s="323" t="s">
        <v>1317</v>
      </c>
      <c r="M60" s="323" t="s">
        <v>1438</v>
      </c>
      <c r="N60" s="324">
        <v>1</v>
      </c>
      <c r="O60" s="323">
        <v>74</v>
      </c>
    </row>
    <row r="61" spans="1:15">
      <c r="A61" s="323" t="s">
        <v>1454</v>
      </c>
      <c r="B61" s="323" t="s">
        <v>40</v>
      </c>
      <c r="C61" s="323" t="s">
        <v>817</v>
      </c>
      <c r="D61" s="323" t="s">
        <v>817</v>
      </c>
      <c r="E61" s="323" t="s">
        <v>242</v>
      </c>
      <c r="F61" s="323" t="s">
        <v>1455</v>
      </c>
      <c r="G61" s="323" t="s">
        <v>1203</v>
      </c>
      <c r="H61" s="323" t="s">
        <v>1249</v>
      </c>
      <c r="I61" s="323" t="s">
        <v>288</v>
      </c>
      <c r="J61" s="323" t="s">
        <v>1436</v>
      </c>
      <c r="K61" s="323" t="s">
        <v>1437</v>
      </c>
      <c r="L61" s="323" t="s">
        <v>1254</v>
      </c>
      <c r="M61" s="323" t="s">
        <v>1438</v>
      </c>
      <c r="N61" s="324">
        <v>1</v>
      </c>
      <c r="O61" s="323">
        <v>53</v>
      </c>
    </row>
    <row r="62" spans="1:15">
      <c r="A62" s="323" t="s">
        <v>1272</v>
      </c>
      <c r="B62" s="323" t="s">
        <v>974</v>
      </c>
      <c r="C62" s="323" t="s">
        <v>817</v>
      </c>
      <c r="D62" s="323" t="s">
        <v>817</v>
      </c>
      <c r="E62" s="323" t="s">
        <v>242</v>
      </c>
      <c r="F62" s="323" t="s">
        <v>357</v>
      </c>
      <c r="G62" s="323" t="s">
        <v>1203</v>
      </c>
      <c r="H62" s="323" t="s">
        <v>1249</v>
      </c>
      <c r="I62" s="323" t="s">
        <v>288</v>
      </c>
      <c r="J62" s="323" t="s">
        <v>1436</v>
      </c>
      <c r="K62" s="323" t="s">
        <v>1437</v>
      </c>
      <c r="L62" s="323" t="s">
        <v>1254</v>
      </c>
      <c r="M62" s="323" t="s">
        <v>1440</v>
      </c>
      <c r="N62" s="324">
        <v>1</v>
      </c>
      <c r="O62" s="323">
        <v>46</v>
      </c>
    </row>
    <row r="63" spans="1:15">
      <c r="A63" s="323" t="s">
        <v>1383</v>
      </c>
      <c r="B63" s="323" t="s">
        <v>1384</v>
      </c>
      <c r="C63" s="323" t="s">
        <v>817</v>
      </c>
      <c r="D63" s="323" t="s">
        <v>817</v>
      </c>
      <c r="E63" s="323" t="s">
        <v>287</v>
      </c>
      <c r="F63" s="323" t="s">
        <v>578</v>
      </c>
      <c r="G63" s="323" t="s">
        <v>1203</v>
      </c>
      <c r="H63" s="323" t="s">
        <v>1372</v>
      </c>
      <c r="I63" s="323" t="s">
        <v>21</v>
      </c>
      <c r="J63" s="323" t="s">
        <v>1436</v>
      </c>
      <c r="K63" s="323" t="s">
        <v>1437</v>
      </c>
      <c r="L63" s="323" t="s">
        <v>1373</v>
      </c>
      <c r="M63" s="323" t="s">
        <v>1438</v>
      </c>
      <c r="N63" s="324">
        <v>1</v>
      </c>
      <c r="O63" s="323">
        <v>55</v>
      </c>
    </row>
    <row r="64" spans="1:15">
      <c r="A64" s="323" t="s">
        <v>1351</v>
      </c>
      <c r="B64" s="323" t="s">
        <v>1352</v>
      </c>
      <c r="C64" s="323" t="s">
        <v>817</v>
      </c>
      <c r="D64" s="323" t="s">
        <v>817</v>
      </c>
      <c r="E64" s="323" t="s">
        <v>287</v>
      </c>
      <c r="F64" s="323" t="s">
        <v>523</v>
      </c>
      <c r="G64" s="323" t="s">
        <v>1203</v>
      </c>
      <c r="H64" s="323" t="s">
        <v>1353</v>
      </c>
      <c r="I64" s="323" t="s">
        <v>18</v>
      </c>
      <c r="J64" s="323" t="s">
        <v>1436</v>
      </c>
      <c r="K64" s="323" t="s">
        <v>1437</v>
      </c>
      <c r="L64" s="323" t="s">
        <v>1354</v>
      </c>
      <c r="M64" s="323" t="s">
        <v>1438</v>
      </c>
      <c r="N64" s="324">
        <v>1</v>
      </c>
      <c r="O64" s="323">
        <v>66</v>
      </c>
    </row>
    <row r="65" spans="1:15">
      <c r="A65" s="323" t="s">
        <v>1392</v>
      </c>
      <c r="B65" s="323" t="s">
        <v>1393</v>
      </c>
      <c r="C65" s="323" t="s">
        <v>817</v>
      </c>
      <c r="D65" s="323" t="s">
        <v>817</v>
      </c>
      <c r="E65" s="323" t="s">
        <v>287</v>
      </c>
      <c r="F65" s="323" t="s">
        <v>591</v>
      </c>
      <c r="G65" s="323" t="s">
        <v>1203</v>
      </c>
      <c r="H65" s="323" t="s">
        <v>1387</v>
      </c>
      <c r="I65" s="323" t="s">
        <v>25</v>
      </c>
      <c r="J65" s="323" t="s">
        <v>1436</v>
      </c>
      <c r="K65" s="323" t="s">
        <v>1437</v>
      </c>
      <c r="L65" s="323" t="s">
        <v>1388</v>
      </c>
      <c r="M65" s="323" t="s">
        <v>1438</v>
      </c>
      <c r="N65" s="324">
        <v>1</v>
      </c>
      <c r="O65" s="323">
        <v>63</v>
      </c>
    </row>
    <row r="66" spans="1:15">
      <c r="A66" s="323" t="s">
        <v>1390</v>
      </c>
      <c r="B66" s="323" t="s">
        <v>1391</v>
      </c>
      <c r="C66" s="323" t="s">
        <v>817</v>
      </c>
      <c r="D66" s="323" t="s">
        <v>817</v>
      </c>
      <c r="E66" s="323" t="s">
        <v>287</v>
      </c>
      <c r="F66" s="323" t="s">
        <v>586</v>
      </c>
      <c r="G66" s="323" t="s">
        <v>1203</v>
      </c>
      <c r="H66" s="323" t="s">
        <v>1387</v>
      </c>
      <c r="I66" s="323" t="s">
        <v>25</v>
      </c>
      <c r="J66" s="323" t="s">
        <v>1436</v>
      </c>
      <c r="K66" s="323" t="s">
        <v>1437</v>
      </c>
      <c r="L66" s="323" t="s">
        <v>1388</v>
      </c>
      <c r="M66" s="323" t="s">
        <v>1438</v>
      </c>
      <c r="N66" s="324">
        <v>1</v>
      </c>
      <c r="O66" s="323">
        <v>64</v>
      </c>
    </row>
    <row r="67" spans="1:15">
      <c r="A67" s="323" t="s">
        <v>1288</v>
      </c>
      <c r="B67" s="323" t="s">
        <v>1289</v>
      </c>
      <c r="C67" s="323" t="s">
        <v>817</v>
      </c>
      <c r="D67" s="323" t="s">
        <v>817</v>
      </c>
      <c r="E67" s="323" t="s">
        <v>287</v>
      </c>
      <c r="F67" s="323" t="s">
        <v>391</v>
      </c>
      <c r="G67" s="323" t="s">
        <v>1203</v>
      </c>
      <c r="H67" s="323" t="s">
        <v>1249</v>
      </c>
      <c r="I67" s="323" t="s">
        <v>288</v>
      </c>
      <c r="J67" s="323" t="s">
        <v>1436</v>
      </c>
      <c r="K67" s="323" t="s">
        <v>1437</v>
      </c>
      <c r="L67" s="323" t="s">
        <v>1250</v>
      </c>
      <c r="M67" s="323" t="s">
        <v>1438</v>
      </c>
      <c r="N67" s="324">
        <v>1</v>
      </c>
      <c r="O67" s="323">
        <v>36</v>
      </c>
    </row>
    <row r="68" spans="1:15">
      <c r="A68" s="323" t="s">
        <v>1307</v>
      </c>
      <c r="B68" s="323" t="s">
        <v>871</v>
      </c>
      <c r="C68" s="323" t="s">
        <v>1232</v>
      </c>
      <c r="D68" s="323" t="s">
        <v>1233</v>
      </c>
      <c r="E68" s="323" t="s">
        <v>1308</v>
      </c>
      <c r="F68" s="323" t="s">
        <v>445</v>
      </c>
      <c r="G68" s="323" t="s">
        <v>1203</v>
      </c>
      <c r="H68" s="323" t="s">
        <v>1293</v>
      </c>
      <c r="I68" s="323" t="s">
        <v>400</v>
      </c>
      <c r="J68" s="323" t="s">
        <v>1436</v>
      </c>
      <c r="K68" s="323" t="s">
        <v>1437</v>
      </c>
      <c r="L68" s="323" t="s">
        <v>1294</v>
      </c>
      <c r="M68" s="323" t="s">
        <v>1440</v>
      </c>
      <c r="N68" s="324">
        <v>1</v>
      </c>
      <c r="O68" s="323">
        <v>24</v>
      </c>
    </row>
    <row r="69" spans="1:15">
      <c r="A69" s="323" t="s">
        <v>1261</v>
      </c>
      <c r="B69" s="323" t="s">
        <v>331</v>
      </c>
      <c r="C69" s="323" t="s">
        <v>817</v>
      </c>
      <c r="D69" s="323" t="s">
        <v>817</v>
      </c>
      <c r="E69" s="323" t="s">
        <v>287</v>
      </c>
      <c r="F69" s="323" t="s">
        <v>332</v>
      </c>
      <c r="G69" s="323" t="s">
        <v>1203</v>
      </c>
      <c r="H69" s="323" t="s">
        <v>1249</v>
      </c>
      <c r="I69" s="323" t="s">
        <v>288</v>
      </c>
      <c r="J69" s="323" t="s">
        <v>1436</v>
      </c>
      <c r="K69" s="323" t="s">
        <v>1437</v>
      </c>
      <c r="L69" s="323" t="s">
        <v>1250</v>
      </c>
      <c r="M69" s="323" t="s">
        <v>1438</v>
      </c>
      <c r="N69" s="324">
        <v>1</v>
      </c>
      <c r="O69" s="323">
        <v>34</v>
      </c>
    </row>
    <row r="70" spans="1:15">
      <c r="A70" s="323" t="s">
        <v>1456</v>
      </c>
      <c r="B70" s="323" t="s">
        <v>1000</v>
      </c>
      <c r="C70" s="323" t="s">
        <v>817</v>
      </c>
      <c r="D70" s="323" t="s">
        <v>817</v>
      </c>
      <c r="E70" s="323" t="s">
        <v>1279</v>
      </c>
      <c r="F70" s="323" t="s">
        <v>1457</v>
      </c>
      <c r="G70" s="323" t="s">
        <v>1203</v>
      </c>
      <c r="H70" s="323" t="s">
        <v>1458</v>
      </c>
      <c r="I70" s="323" t="s">
        <v>477</v>
      </c>
      <c r="J70" s="323" t="s">
        <v>1436</v>
      </c>
      <c r="K70" s="323" t="s">
        <v>1437</v>
      </c>
      <c r="L70" s="323" t="s">
        <v>1459</v>
      </c>
      <c r="M70" s="323" t="s">
        <v>1438</v>
      </c>
      <c r="N70" s="324">
        <v>1</v>
      </c>
      <c r="O70" s="323">
        <v>4</v>
      </c>
    </row>
    <row r="71" spans="1:15" ht="30">
      <c r="A71" s="323" t="s">
        <v>1460</v>
      </c>
      <c r="B71" s="323" t="s">
        <v>1461</v>
      </c>
      <c r="C71" s="323" t="s">
        <v>1232</v>
      </c>
      <c r="D71" s="323" t="s">
        <v>1233</v>
      </c>
      <c r="E71" s="323" t="s">
        <v>1462</v>
      </c>
      <c r="F71" s="323" t="s">
        <v>1463</v>
      </c>
      <c r="G71" s="323" t="s">
        <v>1186</v>
      </c>
      <c r="H71" s="323" t="s">
        <v>1170</v>
      </c>
      <c r="I71" s="323" t="s">
        <v>1435</v>
      </c>
      <c r="J71" s="323" t="s">
        <v>1436</v>
      </c>
      <c r="K71" s="323" t="s">
        <v>1437</v>
      </c>
      <c r="L71" s="323" t="s">
        <v>1171</v>
      </c>
      <c r="M71" s="323" t="s">
        <v>1440</v>
      </c>
      <c r="N71" s="324">
        <v>1</v>
      </c>
      <c r="O71" s="323">
        <v>10</v>
      </c>
    </row>
    <row r="72" spans="1:15">
      <c r="A72" s="323" t="s">
        <v>1419</v>
      </c>
      <c r="B72" s="323" t="s">
        <v>637</v>
      </c>
      <c r="C72" s="323" t="s">
        <v>1232</v>
      </c>
      <c r="D72" s="323" t="s">
        <v>1233</v>
      </c>
      <c r="E72" s="323" t="s">
        <v>1308</v>
      </c>
      <c r="F72" s="323" t="s">
        <v>638</v>
      </c>
      <c r="G72" s="323" t="s">
        <v>1203</v>
      </c>
      <c r="H72" s="323" t="s">
        <v>1312</v>
      </c>
      <c r="I72" s="323" t="s">
        <v>29</v>
      </c>
      <c r="J72" s="323" t="s">
        <v>1436</v>
      </c>
      <c r="K72" s="323" t="s">
        <v>1437</v>
      </c>
      <c r="L72" s="323" t="s">
        <v>1313</v>
      </c>
      <c r="M72" s="323" t="s">
        <v>1440</v>
      </c>
      <c r="N72" s="324">
        <v>1</v>
      </c>
      <c r="O72" s="323">
        <v>54</v>
      </c>
    </row>
    <row r="73" spans="1:15">
      <c r="A73" s="323" t="s">
        <v>1464</v>
      </c>
      <c r="B73" s="323" t="s">
        <v>1031</v>
      </c>
      <c r="C73" s="323" t="s">
        <v>1232</v>
      </c>
      <c r="D73" s="323" t="s">
        <v>1233</v>
      </c>
      <c r="E73" s="323" t="s">
        <v>1465</v>
      </c>
      <c r="F73" s="323" t="s">
        <v>1466</v>
      </c>
      <c r="G73" s="323" t="s">
        <v>1186</v>
      </c>
      <c r="H73" s="323" t="s">
        <v>1312</v>
      </c>
      <c r="I73" s="323" t="s">
        <v>29</v>
      </c>
      <c r="J73" s="323" t="s">
        <v>1436</v>
      </c>
      <c r="K73" s="323" t="s">
        <v>1437</v>
      </c>
      <c r="L73" s="323" t="s">
        <v>1313</v>
      </c>
      <c r="M73" s="323" t="s">
        <v>1440</v>
      </c>
      <c r="N73" s="324">
        <v>1</v>
      </c>
      <c r="O73" s="323">
        <v>29</v>
      </c>
    </row>
    <row r="74" spans="1:15">
      <c r="A74" s="323" t="s">
        <v>1214</v>
      </c>
      <c r="B74" s="323" t="s">
        <v>230</v>
      </c>
      <c r="C74" s="323" t="s">
        <v>817</v>
      </c>
      <c r="D74" s="323" t="s">
        <v>817</v>
      </c>
      <c r="E74" s="323" t="s">
        <v>1215</v>
      </c>
      <c r="F74" s="323" t="s">
        <v>231</v>
      </c>
      <c r="G74" s="323" t="s">
        <v>1186</v>
      </c>
      <c r="H74" s="323" t="s">
        <v>1204</v>
      </c>
      <c r="I74" s="323" t="s">
        <v>184</v>
      </c>
      <c r="J74" s="323" t="s">
        <v>1436</v>
      </c>
      <c r="K74" s="323" t="s">
        <v>1437</v>
      </c>
      <c r="L74" s="323" t="s">
        <v>1205</v>
      </c>
      <c r="M74" s="323" t="s">
        <v>1438</v>
      </c>
      <c r="N74" s="324">
        <v>1</v>
      </c>
      <c r="O74" s="323">
        <v>109</v>
      </c>
    </row>
    <row r="75" spans="1:15">
      <c r="A75" s="323" t="s">
        <v>1322</v>
      </c>
      <c r="B75" s="323" t="s">
        <v>1323</v>
      </c>
      <c r="C75" s="323" t="s">
        <v>817</v>
      </c>
      <c r="D75" s="323" t="s">
        <v>817</v>
      </c>
      <c r="E75" s="323" t="s">
        <v>1185</v>
      </c>
      <c r="F75" s="323" t="s">
        <v>470</v>
      </c>
      <c r="G75" s="323" t="s">
        <v>1203</v>
      </c>
      <c r="H75" s="323" t="s">
        <v>1316</v>
      </c>
      <c r="I75" s="323" t="s">
        <v>448</v>
      </c>
      <c r="J75" s="323" t="s">
        <v>1436</v>
      </c>
      <c r="K75" s="323" t="s">
        <v>1437</v>
      </c>
      <c r="L75" s="323" t="s">
        <v>1317</v>
      </c>
      <c r="M75" s="323" t="s">
        <v>1438</v>
      </c>
      <c r="N75" s="324">
        <v>1</v>
      </c>
      <c r="O75" s="323">
        <v>75</v>
      </c>
    </row>
    <row r="76" spans="1:15" ht="30">
      <c r="A76" s="323" t="s">
        <v>1467</v>
      </c>
      <c r="B76" s="323" t="s">
        <v>1468</v>
      </c>
      <c r="C76" s="323" t="s">
        <v>817</v>
      </c>
      <c r="D76" s="323" t="s">
        <v>817</v>
      </c>
      <c r="E76" s="323" t="s">
        <v>1167</v>
      </c>
      <c r="F76" s="323" t="s">
        <v>1469</v>
      </c>
      <c r="G76" s="323" t="s">
        <v>1186</v>
      </c>
      <c r="H76" s="323" t="s">
        <v>1170</v>
      </c>
      <c r="I76" s="323" t="s">
        <v>1435</v>
      </c>
      <c r="J76" s="323" t="s">
        <v>1436</v>
      </c>
      <c r="K76" s="323" t="s">
        <v>1437</v>
      </c>
      <c r="L76" s="323" t="s">
        <v>1171</v>
      </c>
      <c r="M76" s="323" t="s">
        <v>1438</v>
      </c>
      <c r="N76" s="324">
        <v>1</v>
      </c>
      <c r="O76" s="323">
        <v>12</v>
      </c>
    </row>
    <row r="77" spans="1:15">
      <c r="A77" s="323" t="s">
        <v>1356</v>
      </c>
      <c r="B77" s="323" t="s">
        <v>1357</v>
      </c>
      <c r="C77" s="323" t="s">
        <v>817</v>
      </c>
      <c r="D77" s="323" t="s">
        <v>817</v>
      </c>
      <c r="E77" s="323" t="s">
        <v>287</v>
      </c>
      <c r="F77" s="323" t="s">
        <v>527</v>
      </c>
      <c r="G77" s="323" t="s">
        <v>1203</v>
      </c>
      <c r="H77" s="323" t="s">
        <v>1353</v>
      </c>
      <c r="I77" s="323" t="s">
        <v>18</v>
      </c>
      <c r="J77" s="323" t="s">
        <v>1436</v>
      </c>
      <c r="K77" s="323" t="s">
        <v>1437</v>
      </c>
      <c r="L77" s="323" t="s">
        <v>1354</v>
      </c>
      <c r="M77" s="323" t="s">
        <v>1438</v>
      </c>
      <c r="N77" s="324">
        <v>1</v>
      </c>
      <c r="O77" s="323">
        <v>70</v>
      </c>
    </row>
    <row r="78" spans="1:15">
      <c r="A78" s="323" t="s">
        <v>1283</v>
      </c>
      <c r="B78" s="323" t="s">
        <v>1284</v>
      </c>
      <c r="C78" s="323" t="s">
        <v>817</v>
      </c>
      <c r="D78" s="323" t="s">
        <v>817</v>
      </c>
      <c r="E78" s="323" t="s">
        <v>287</v>
      </c>
      <c r="F78" s="323" t="s">
        <v>378</v>
      </c>
      <c r="G78" s="323" t="s">
        <v>1203</v>
      </c>
      <c r="H78" s="323" t="s">
        <v>1249</v>
      </c>
      <c r="I78" s="323" t="s">
        <v>288</v>
      </c>
      <c r="J78" s="323" t="s">
        <v>1436</v>
      </c>
      <c r="K78" s="323" t="s">
        <v>1437</v>
      </c>
      <c r="L78" s="323" t="s">
        <v>1250</v>
      </c>
      <c r="M78" s="323" t="s">
        <v>1438</v>
      </c>
      <c r="N78" s="324">
        <v>1</v>
      </c>
      <c r="O78" s="323">
        <v>45</v>
      </c>
    </row>
    <row r="79" spans="1:15">
      <c r="A79" s="323" t="s">
        <v>1285</v>
      </c>
      <c r="B79" s="323" t="s">
        <v>1286</v>
      </c>
      <c r="C79" s="323" t="s">
        <v>817</v>
      </c>
      <c r="D79" s="323" t="s">
        <v>817</v>
      </c>
      <c r="E79" s="323" t="s">
        <v>287</v>
      </c>
      <c r="F79" s="323" t="s">
        <v>381</v>
      </c>
      <c r="G79" s="323" t="s">
        <v>1203</v>
      </c>
      <c r="H79" s="323" t="s">
        <v>1249</v>
      </c>
      <c r="I79" s="323" t="s">
        <v>288</v>
      </c>
      <c r="J79" s="323" t="s">
        <v>1436</v>
      </c>
      <c r="K79" s="323" t="s">
        <v>1437</v>
      </c>
      <c r="L79" s="323" t="s">
        <v>1250</v>
      </c>
      <c r="M79" s="323" t="s">
        <v>1438</v>
      </c>
      <c r="N79" s="324">
        <v>1</v>
      </c>
      <c r="O79" s="323">
        <v>39</v>
      </c>
    </row>
    <row r="80" spans="1:15">
      <c r="A80" s="323" t="s">
        <v>1305</v>
      </c>
      <c r="B80" s="323" t="s">
        <v>439</v>
      </c>
      <c r="C80" s="323" t="s">
        <v>817</v>
      </c>
      <c r="D80" s="323" t="s">
        <v>817</v>
      </c>
      <c r="E80" s="323" t="s">
        <v>287</v>
      </c>
      <c r="F80" s="323" t="s">
        <v>440</v>
      </c>
      <c r="G80" s="323" t="s">
        <v>1203</v>
      </c>
      <c r="H80" s="323" t="s">
        <v>1293</v>
      </c>
      <c r="I80" s="323" t="s">
        <v>400</v>
      </c>
      <c r="J80" s="323" t="s">
        <v>1436</v>
      </c>
      <c r="K80" s="323" t="s">
        <v>1437</v>
      </c>
      <c r="L80" s="323" t="s">
        <v>1294</v>
      </c>
      <c r="M80" s="323" t="s">
        <v>1438</v>
      </c>
      <c r="N80" s="324">
        <v>1</v>
      </c>
      <c r="O80" s="323">
        <v>28</v>
      </c>
    </row>
    <row r="81" spans="1:15" ht="30">
      <c r="A81" s="323" t="s">
        <v>1470</v>
      </c>
      <c r="B81" s="323" t="s">
        <v>1471</v>
      </c>
      <c r="C81" s="323" t="s">
        <v>1472</v>
      </c>
      <c r="D81" s="323" t="s">
        <v>1473</v>
      </c>
      <c r="E81" s="323" t="s">
        <v>1474</v>
      </c>
      <c r="F81" s="323" t="s">
        <v>180</v>
      </c>
      <c r="G81" s="323" t="s">
        <v>1475</v>
      </c>
      <c r="H81" s="323" t="s">
        <v>1187</v>
      </c>
      <c r="I81" s="323" t="s">
        <v>1439</v>
      </c>
      <c r="J81" s="323" t="s">
        <v>1436</v>
      </c>
      <c r="K81" s="323" t="s">
        <v>1437</v>
      </c>
      <c r="L81" s="323" t="s">
        <v>1188</v>
      </c>
      <c r="M81" s="323" t="s">
        <v>1440</v>
      </c>
      <c r="N81" s="324">
        <v>1</v>
      </c>
      <c r="O81" s="323">
        <v>84</v>
      </c>
    </row>
    <row r="82" spans="1:15">
      <c r="A82" s="323" t="s">
        <v>1476</v>
      </c>
      <c r="B82" s="323" t="s">
        <v>907</v>
      </c>
      <c r="C82" s="323" t="s">
        <v>817</v>
      </c>
      <c r="D82" s="323" t="s">
        <v>817</v>
      </c>
      <c r="E82" s="323" t="s">
        <v>1222</v>
      </c>
      <c r="F82" s="323" t="s">
        <v>244</v>
      </c>
      <c r="G82" s="323" t="s">
        <v>1203</v>
      </c>
      <c r="H82" s="323" t="s">
        <v>1204</v>
      </c>
      <c r="I82" s="323" t="s">
        <v>184</v>
      </c>
      <c r="J82" s="323" t="s">
        <v>1436</v>
      </c>
      <c r="K82" s="323" t="s">
        <v>1437</v>
      </c>
      <c r="L82" s="323" t="s">
        <v>1205</v>
      </c>
      <c r="M82" s="323" t="s">
        <v>1440</v>
      </c>
      <c r="N82" s="324">
        <v>1</v>
      </c>
      <c r="O82" s="323">
        <v>106</v>
      </c>
    </row>
    <row r="83" spans="1:15" ht="30">
      <c r="A83" s="323" t="s">
        <v>1477</v>
      </c>
      <c r="B83" s="323" t="s">
        <v>1478</v>
      </c>
      <c r="C83" s="323" t="s">
        <v>1472</v>
      </c>
      <c r="D83" s="323" t="s">
        <v>1473</v>
      </c>
      <c r="E83" s="323" t="s">
        <v>1474</v>
      </c>
      <c r="F83" s="323" t="s">
        <v>180</v>
      </c>
      <c r="G83" s="323" t="s">
        <v>1479</v>
      </c>
      <c r="H83" s="323" t="s">
        <v>1187</v>
      </c>
      <c r="I83" s="323" t="s">
        <v>1439</v>
      </c>
      <c r="J83" s="323" t="s">
        <v>1436</v>
      </c>
      <c r="K83" s="323" t="s">
        <v>1437</v>
      </c>
      <c r="L83" s="323" t="s">
        <v>1188</v>
      </c>
      <c r="M83" s="323" t="s">
        <v>1440</v>
      </c>
      <c r="N83" s="324">
        <v>1</v>
      </c>
      <c r="O83" s="323">
        <v>83</v>
      </c>
    </row>
    <row r="84" spans="1:15" ht="30">
      <c r="A84" s="323" t="s">
        <v>1480</v>
      </c>
      <c r="B84" s="323" t="s">
        <v>1481</v>
      </c>
      <c r="C84" s="323" t="s">
        <v>1472</v>
      </c>
      <c r="D84" s="323" t="s">
        <v>1473</v>
      </c>
      <c r="E84" s="323" t="s">
        <v>1482</v>
      </c>
      <c r="F84" s="323" t="s">
        <v>1483</v>
      </c>
      <c r="G84" s="323" t="s">
        <v>1186</v>
      </c>
      <c r="H84" s="323" t="s">
        <v>1170</v>
      </c>
      <c r="I84" s="323" t="s">
        <v>1435</v>
      </c>
      <c r="J84" s="323" t="s">
        <v>1436</v>
      </c>
      <c r="K84" s="323" t="s">
        <v>1437</v>
      </c>
      <c r="L84" s="323" t="s">
        <v>1171</v>
      </c>
      <c r="M84" s="323" t="s">
        <v>1438</v>
      </c>
      <c r="N84" s="324">
        <v>1</v>
      </c>
      <c r="O84" s="323">
        <v>6</v>
      </c>
    </row>
    <row r="85" spans="1:15" ht="30">
      <c r="A85" s="323" t="s">
        <v>1484</v>
      </c>
      <c r="B85" s="323" t="s">
        <v>1485</v>
      </c>
      <c r="C85" s="323" t="s">
        <v>1472</v>
      </c>
      <c r="D85" s="323" t="s">
        <v>1473</v>
      </c>
      <c r="E85" s="323" t="s">
        <v>1486</v>
      </c>
      <c r="F85" s="323" t="s">
        <v>1487</v>
      </c>
      <c r="G85" s="323" t="s">
        <v>1186</v>
      </c>
      <c r="H85" s="323" t="s">
        <v>1170</v>
      </c>
      <c r="I85" s="323" t="s">
        <v>1435</v>
      </c>
      <c r="J85" s="323" t="s">
        <v>1436</v>
      </c>
      <c r="K85" s="323" t="s">
        <v>1437</v>
      </c>
      <c r="L85" s="323" t="s">
        <v>1171</v>
      </c>
      <c r="M85" s="323" t="s">
        <v>1438</v>
      </c>
      <c r="N85" s="324">
        <v>1</v>
      </c>
      <c r="O85" s="323">
        <v>11</v>
      </c>
    </row>
    <row r="86" spans="1:15" ht="30">
      <c r="A86" s="323" t="s">
        <v>1488</v>
      </c>
      <c r="B86" s="323" t="s">
        <v>1489</v>
      </c>
      <c r="C86" s="323" t="s">
        <v>1472</v>
      </c>
      <c r="D86" s="323" t="s">
        <v>1473</v>
      </c>
      <c r="E86" s="323" t="s">
        <v>1474</v>
      </c>
      <c r="F86" s="323" t="s">
        <v>180</v>
      </c>
      <c r="G86" s="323" t="s">
        <v>1490</v>
      </c>
      <c r="H86" s="323" t="s">
        <v>1187</v>
      </c>
      <c r="I86" s="323" t="s">
        <v>1439</v>
      </c>
      <c r="J86" s="323" t="s">
        <v>1436</v>
      </c>
      <c r="K86" s="323" t="s">
        <v>1437</v>
      </c>
      <c r="L86" s="323" t="s">
        <v>1188</v>
      </c>
      <c r="M86" s="323" t="s">
        <v>1440</v>
      </c>
      <c r="N86" s="324">
        <v>1</v>
      </c>
      <c r="O86" s="323">
        <v>82</v>
      </c>
    </row>
    <row r="87" spans="1:15">
      <c r="A87" s="323" t="s">
        <v>1491</v>
      </c>
      <c r="B87" s="323" t="s">
        <v>1492</v>
      </c>
      <c r="C87" s="323" t="s">
        <v>1232</v>
      </c>
      <c r="D87" s="323" t="s">
        <v>1233</v>
      </c>
      <c r="E87" s="323" t="s">
        <v>1234</v>
      </c>
      <c r="F87" s="323" t="s">
        <v>244</v>
      </c>
      <c r="G87" s="323" t="s">
        <v>1493</v>
      </c>
      <c r="H87" s="323" t="s">
        <v>1204</v>
      </c>
      <c r="I87" s="323" t="s">
        <v>184</v>
      </c>
      <c r="J87" s="323" t="s">
        <v>1436</v>
      </c>
      <c r="K87" s="323" t="s">
        <v>1437</v>
      </c>
      <c r="L87" s="323" t="s">
        <v>1205</v>
      </c>
      <c r="M87" s="323" t="s">
        <v>1440</v>
      </c>
      <c r="N87" s="324">
        <v>1</v>
      </c>
      <c r="O87" s="323">
        <v>105</v>
      </c>
    </row>
    <row r="88" spans="1:15">
      <c r="A88" s="323" t="s">
        <v>1277</v>
      </c>
      <c r="B88" s="323" t="s">
        <v>1278</v>
      </c>
      <c r="C88" s="323" t="s">
        <v>817</v>
      </c>
      <c r="D88" s="323" t="s">
        <v>817</v>
      </c>
      <c r="E88" s="323" t="s">
        <v>1279</v>
      </c>
      <c r="F88" s="323" t="s">
        <v>368</v>
      </c>
      <c r="G88" s="323" t="s">
        <v>1203</v>
      </c>
      <c r="H88" s="323" t="s">
        <v>1249</v>
      </c>
      <c r="I88" s="323" t="s">
        <v>288</v>
      </c>
      <c r="J88" s="323" t="s">
        <v>1436</v>
      </c>
      <c r="K88" s="323" t="s">
        <v>1437</v>
      </c>
      <c r="L88" s="323" t="s">
        <v>1254</v>
      </c>
      <c r="M88" s="323" t="s">
        <v>1438</v>
      </c>
      <c r="N88" s="324">
        <v>1</v>
      </c>
      <c r="O88" s="323">
        <v>52</v>
      </c>
    </row>
    <row r="89" spans="1:15" ht="30">
      <c r="A89" s="323" t="s">
        <v>1494</v>
      </c>
      <c r="B89" s="323" t="s">
        <v>849</v>
      </c>
      <c r="C89" s="323" t="s">
        <v>805</v>
      </c>
      <c r="D89" s="323" t="s">
        <v>1495</v>
      </c>
      <c r="E89" s="323" t="s">
        <v>1496</v>
      </c>
      <c r="F89" s="323" t="s">
        <v>1497</v>
      </c>
      <c r="G89" s="323" t="s">
        <v>1186</v>
      </c>
      <c r="H89" s="323" t="s">
        <v>1170</v>
      </c>
      <c r="I89" s="323" t="s">
        <v>1435</v>
      </c>
      <c r="J89" s="323" t="s">
        <v>1436</v>
      </c>
      <c r="K89" s="323" t="s">
        <v>1437</v>
      </c>
      <c r="L89" s="323" t="s">
        <v>1171</v>
      </c>
      <c r="M89" s="323" t="s">
        <v>1438</v>
      </c>
      <c r="N89" s="324">
        <v>1</v>
      </c>
      <c r="O89" s="323">
        <v>3</v>
      </c>
    </row>
    <row r="90" spans="1:15">
      <c r="A90" s="323" t="s">
        <v>1238</v>
      </c>
      <c r="B90" s="323" t="s">
        <v>971</v>
      </c>
      <c r="C90" s="323" t="s">
        <v>817</v>
      </c>
      <c r="D90" s="323" t="s">
        <v>817</v>
      </c>
      <c r="E90" s="323" t="s">
        <v>242</v>
      </c>
      <c r="F90" s="323" t="s">
        <v>268</v>
      </c>
      <c r="G90" s="323" t="s">
        <v>1203</v>
      </c>
      <c r="H90" s="323" t="s">
        <v>1204</v>
      </c>
      <c r="I90" s="323" t="s">
        <v>184</v>
      </c>
      <c r="J90" s="323" t="s">
        <v>1436</v>
      </c>
      <c r="K90" s="323" t="s">
        <v>1437</v>
      </c>
      <c r="L90" s="323" t="s">
        <v>1205</v>
      </c>
      <c r="M90" s="323" t="s">
        <v>1438</v>
      </c>
      <c r="N90" s="324">
        <v>1</v>
      </c>
      <c r="O90" s="323">
        <v>108</v>
      </c>
    </row>
    <row r="91" spans="1:15">
      <c r="A91" s="323" t="s">
        <v>1498</v>
      </c>
      <c r="B91" s="323" t="s">
        <v>1499</v>
      </c>
      <c r="C91" s="323" t="s">
        <v>1232</v>
      </c>
      <c r="D91" s="323" t="s">
        <v>1233</v>
      </c>
      <c r="E91" s="323" t="s">
        <v>1308</v>
      </c>
      <c r="F91" s="323" t="s">
        <v>534</v>
      </c>
      <c r="G91" s="323" t="s">
        <v>1500</v>
      </c>
      <c r="H91" s="323" t="s">
        <v>1353</v>
      </c>
      <c r="I91" s="323" t="s">
        <v>18</v>
      </c>
      <c r="J91" s="323" t="s">
        <v>1436</v>
      </c>
      <c r="K91" s="323" t="s">
        <v>1437</v>
      </c>
      <c r="L91" s="323" t="s">
        <v>1354</v>
      </c>
      <c r="M91" s="323" t="s">
        <v>1440</v>
      </c>
      <c r="N91" s="324">
        <v>1</v>
      </c>
      <c r="O91" s="323">
        <v>67</v>
      </c>
    </row>
    <row r="92" spans="1:15">
      <c r="A92" s="323" t="s">
        <v>1385</v>
      </c>
      <c r="B92" s="323" t="s">
        <v>87</v>
      </c>
      <c r="C92" s="323" t="s">
        <v>817</v>
      </c>
      <c r="D92" s="323" t="s">
        <v>817</v>
      </c>
      <c r="E92" s="323" t="s">
        <v>1386</v>
      </c>
      <c r="F92" s="323" t="s">
        <v>582</v>
      </c>
      <c r="G92" s="323" t="s">
        <v>1203</v>
      </c>
      <c r="H92" s="323" t="s">
        <v>1387</v>
      </c>
      <c r="I92" s="323" t="s">
        <v>25</v>
      </c>
      <c r="J92" s="323" t="s">
        <v>1436</v>
      </c>
      <c r="K92" s="323" t="s">
        <v>1437</v>
      </c>
      <c r="L92" s="323" t="s">
        <v>1388</v>
      </c>
      <c r="M92" s="323" t="s">
        <v>1438</v>
      </c>
      <c r="N92" s="324">
        <v>1</v>
      </c>
      <c r="O92" s="323">
        <v>65</v>
      </c>
    </row>
    <row r="93" spans="1:15" ht="30">
      <c r="A93" s="323" t="s">
        <v>1501</v>
      </c>
      <c r="B93" s="323" t="s">
        <v>1502</v>
      </c>
      <c r="C93" s="323" t="s">
        <v>1472</v>
      </c>
      <c r="D93" s="323" t="s">
        <v>1473</v>
      </c>
      <c r="E93" s="323" t="s">
        <v>1474</v>
      </c>
      <c r="F93" s="323" t="s">
        <v>180</v>
      </c>
      <c r="G93" s="323" t="s">
        <v>1503</v>
      </c>
      <c r="H93" s="323" t="s">
        <v>1187</v>
      </c>
      <c r="I93" s="323" t="s">
        <v>1439</v>
      </c>
      <c r="J93" s="323" t="s">
        <v>1436</v>
      </c>
      <c r="K93" s="323" t="s">
        <v>1437</v>
      </c>
      <c r="L93" s="323" t="s">
        <v>1188</v>
      </c>
      <c r="M93" s="323" t="s">
        <v>1440</v>
      </c>
      <c r="N93" s="324">
        <v>1</v>
      </c>
      <c r="O93" s="323">
        <v>81</v>
      </c>
    </row>
    <row r="94" spans="1:15">
      <c r="A94" s="323" t="s">
        <v>1504</v>
      </c>
      <c r="B94" s="323" t="s">
        <v>1505</v>
      </c>
      <c r="C94" s="323" t="s">
        <v>817</v>
      </c>
      <c r="D94" s="323" t="s">
        <v>817</v>
      </c>
      <c r="E94" s="323" t="s">
        <v>1506</v>
      </c>
      <c r="F94" s="323" t="s">
        <v>1507</v>
      </c>
      <c r="G94" s="323" t="s">
        <v>1186</v>
      </c>
      <c r="H94" s="323" t="s">
        <v>1353</v>
      </c>
      <c r="I94" s="323" t="s">
        <v>18</v>
      </c>
      <c r="J94" s="323" t="s">
        <v>1436</v>
      </c>
      <c r="K94" s="323" t="s">
        <v>1437</v>
      </c>
      <c r="L94" s="323" t="s">
        <v>1354</v>
      </c>
      <c r="M94" s="323" t="s">
        <v>1438</v>
      </c>
      <c r="N94" s="324">
        <v>1</v>
      </c>
      <c r="O94" s="323">
        <v>13</v>
      </c>
    </row>
    <row r="95" spans="1:15">
      <c r="A95" s="323" t="s">
        <v>1359</v>
      </c>
      <c r="B95" s="323" t="s">
        <v>1360</v>
      </c>
      <c r="C95" s="323" t="s">
        <v>817</v>
      </c>
      <c r="D95" s="323" t="s">
        <v>817</v>
      </c>
      <c r="E95" s="323" t="s">
        <v>1329</v>
      </c>
      <c r="F95" s="323" t="s">
        <v>531</v>
      </c>
      <c r="G95" s="323" t="s">
        <v>1203</v>
      </c>
      <c r="H95" s="323" t="s">
        <v>1353</v>
      </c>
      <c r="I95" s="323" t="s">
        <v>18</v>
      </c>
      <c r="J95" s="323" t="s">
        <v>1436</v>
      </c>
      <c r="K95" s="323" t="s">
        <v>1437</v>
      </c>
      <c r="L95" s="323" t="s">
        <v>1354</v>
      </c>
      <c r="M95" s="323" t="s">
        <v>1438</v>
      </c>
      <c r="N95" s="324">
        <v>1</v>
      </c>
      <c r="O95" s="323">
        <v>71</v>
      </c>
    </row>
    <row r="96" spans="1:15">
      <c r="A96" s="323" t="s">
        <v>1190</v>
      </c>
      <c r="B96" s="323" t="s">
        <v>7</v>
      </c>
      <c r="C96" s="323" t="s">
        <v>817</v>
      </c>
      <c r="D96" s="323" t="s">
        <v>817</v>
      </c>
      <c r="E96" s="323" t="s">
        <v>1191</v>
      </c>
      <c r="F96" s="323" t="s">
        <v>1508</v>
      </c>
      <c r="G96" s="323" t="s">
        <v>1203</v>
      </c>
      <c r="H96" s="323" t="s">
        <v>1187</v>
      </c>
      <c r="I96" s="323" t="s">
        <v>1439</v>
      </c>
      <c r="J96" s="323" t="s">
        <v>1436</v>
      </c>
      <c r="K96" s="323" t="s">
        <v>1437</v>
      </c>
      <c r="L96" s="323" t="s">
        <v>1188</v>
      </c>
      <c r="M96" s="323" t="s">
        <v>1438</v>
      </c>
      <c r="N96" s="324">
        <v>1</v>
      </c>
      <c r="O96" s="323">
        <v>77</v>
      </c>
    </row>
    <row r="97" spans="1:15">
      <c r="A97" s="323" t="s">
        <v>1411</v>
      </c>
      <c r="B97" s="323" t="s">
        <v>1113</v>
      </c>
      <c r="C97" s="323" t="s">
        <v>817</v>
      </c>
      <c r="D97" s="323" t="s">
        <v>817</v>
      </c>
      <c r="E97" s="323" t="s">
        <v>242</v>
      </c>
      <c r="F97" s="323" t="s">
        <v>622</v>
      </c>
      <c r="G97" s="323" t="s">
        <v>1203</v>
      </c>
      <c r="H97" s="323" t="s">
        <v>1387</v>
      </c>
      <c r="I97" s="323" t="s">
        <v>25</v>
      </c>
      <c r="J97" s="323" t="s">
        <v>1436</v>
      </c>
      <c r="K97" s="323" t="s">
        <v>1437</v>
      </c>
      <c r="L97" s="323" t="s">
        <v>1388</v>
      </c>
      <c r="M97" s="323" t="s">
        <v>1438</v>
      </c>
      <c r="N97" s="324">
        <v>1</v>
      </c>
      <c r="O97" s="323">
        <v>87</v>
      </c>
    </row>
    <row r="98" spans="1:15">
      <c r="A98" s="323" t="s">
        <v>1265</v>
      </c>
      <c r="B98" s="323" t="s">
        <v>1266</v>
      </c>
      <c r="C98" s="323" t="s">
        <v>817</v>
      </c>
      <c r="D98" s="323" t="s">
        <v>817</v>
      </c>
      <c r="E98" s="323" t="s">
        <v>287</v>
      </c>
      <c r="F98" s="323" t="s">
        <v>342</v>
      </c>
      <c r="G98" s="323" t="s">
        <v>1203</v>
      </c>
      <c r="H98" s="323" t="s">
        <v>1249</v>
      </c>
      <c r="I98" s="323" t="s">
        <v>288</v>
      </c>
      <c r="J98" s="323" t="s">
        <v>1436</v>
      </c>
      <c r="K98" s="323" t="s">
        <v>1437</v>
      </c>
      <c r="L98" s="323" t="s">
        <v>1254</v>
      </c>
      <c r="M98" s="323" t="s">
        <v>1438</v>
      </c>
      <c r="N98" s="324">
        <v>1</v>
      </c>
      <c r="O98" s="323">
        <v>51</v>
      </c>
    </row>
    <row r="99" spans="1:15">
      <c r="A99" s="323" t="s">
        <v>1345</v>
      </c>
      <c r="B99" s="323" t="s">
        <v>1346</v>
      </c>
      <c r="C99" s="323" t="s">
        <v>821</v>
      </c>
      <c r="D99" s="323" t="s">
        <v>1233</v>
      </c>
      <c r="E99" s="323" t="s">
        <v>1241</v>
      </c>
      <c r="F99" s="323" t="s">
        <v>507</v>
      </c>
      <c r="G99" s="323" t="s">
        <v>1203</v>
      </c>
      <c r="H99" s="323" t="s">
        <v>1340</v>
      </c>
      <c r="I99" s="323" t="s">
        <v>14</v>
      </c>
      <c r="J99" s="323" t="s">
        <v>1436</v>
      </c>
      <c r="K99" s="323" t="s">
        <v>1437</v>
      </c>
      <c r="L99" s="323" t="s">
        <v>1341</v>
      </c>
      <c r="M99" s="323" t="s">
        <v>1440</v>
      </c>
      <c r="N99" s="324">
        <v>1</v>
      </c>
      <c r="O99" s="323">
        <v>19</v>
      </c>
    </row>
    <row r="100" spans="1:15">
      <c r="A100" s="323" t="s">
        <v>1509</v>
      </c>
      <c r="B100" s="323" t="s">
        <v>1510</v>
      </c>
      <c r="C100" s="323" t="s">
        <v>805</v>
      </c>
      <c r="D100" s="323" t="s">
        <v>1495</v>
      </c>
      <c r="E100" s="323" t="s">
        <v>1496</v>
      </c>
      <c r="F100" s="323" t="s">
        <v>1511</v>
      </c>
      <c r="G100" s="323" t="s">
        <v>1186</v>
      </c>
      <c r="H100" s="323" t="s">
        <v>1387</v>
      </c>
      <c r="I100" s="323" t="s">
        <v>25</v>
      </c>
      <c r="J100" s="323" t="s">
        <v>1436</v>
      </c>
      <c r="K100" s="323" t="s">
        <v>1437</v>
      </c>
      <c r="L100" s="323" t="s">
        <v>1388</v>
      </c>
      <c r="M100" s="323" t="s">
        <v>1438</v>
      </c>
      <c r="N100" s="324">
        <v>1</v>
      </c>
      <c r="O100" s="323">
        <v>96</v>
      </c>
    </row>
    <row r="101" spans="1:15">
      <c r="A101" s="323" t="s">
        <v>1512</v>
      </c>
      <c r="B101" s="323" t="s">
        <v>1513</v>
      </c>
      <c r="C101" s="323" t="s">
        <v>805</v>
      </c>
      <c r="D101" s="323" t="s">
        <v>1495</v>
      </c>
      <c r="E101" s="323" t="s">
        <v>1496</v>
      </c>
      <c r="F101" s="323" t="s">
        <v>1514</v>
      </c>
      <c r="G101" s="323" t="s">
        <v>1186</v>
      </c>
      <c r="H101" s="323" t="s">
        <v>1187</v>
      </c>
      <c r="I101" s="323" t="s">
        <v>1439</v>
      </c>
      <c r="J101" s="323" t="s">
        <v>1436</v>
      </c>
      <c r="K101" s="323" t="s">
        <v>1437</v>
      </c>
      <c r="L101" s="323" t="s">
        <v>1188</v>
      </c>
      <c r="M101" s="323" t="s">
        <v>1438</v>
      </c>
      <c r="N101" s="324">
        <v>1</v>
      </c>
      <c r="O101" s="323">
        <v>79</v>
      </c>
    </row>
    <row r="102" spans="1:15">
      <c r="A102" s="323" t="s">
        <v>1269</v>
      </c>
      <c r="B102" s="323" t="s">
        <v>1270</v>
      </c>
      <c r="C102" s="323" t="s">
        <v>817</v>
      </c>
      <c r="D102" s="323" t="s">
        <v>817</v>
      </c>
      <c r="E102" s="323" t="s">
        <v>1222</v>
      </c>
      <c r="F102" s="323" t="s">
        <v>352</v>
      </c>
      <c r="G102" s="323" t="s">
        <v>1203</v>
      </c>
      <c r="H102" s="323" t="s">
        <v>1249</v>
      </c>
      <c r="I102" s="323" t="s">
        <v>288</v>
      </c>
      <c r="J102" s="323" t="s">
        <v>1436</v>
      </c>
      <c r="K102" s="323" t="s">
        <v>1437</v>
      </c>
      <c r="L102" s="323" t="s">
        <v>1250</v>
      </c>
      <c r="M102" s="323" t="s">
        <v>1438</v>
      </c>
      <c r="N102" s="324">
        <v>1</v>
      </c>
      <c r="O102" s="323">
        <v>33</v>
      </c>
    </row>
    <row r="103" spans="1:15">
      <c r="A103" s="323" t="s">
        <v>1302</v>
      </c>
      <c r="B103" s="323" t="s">
        <v>429</v>
      </c>
      <c r="C103" s="323" t="s">
        <v>817</v>
      </c>
      <c r="D103" s="323" t="s">
        <v>817</v>
      </c>
      <c r="E103" s="323" t="s">
        <v>242</v>
      </c>
      <c r="F103" s="323" t="s">
        <v>430</v>
      </c>
      <c r="G103" s="323" t="s">
        <v>1203</v>
      </c>
      <c r="H103" s="323" t="s">
        <v>1293</v>
      </c>
      <c r="I103" s="323" t="s">
        <v>400</v>
      </c>
      <c r="J103" s="323" t="s">
        <v>1436</v>
      </c>
      <c r="K103" s="323" t="s">
        <v>1437</v>
      </c>
      <c r="L103" s="323" t="s">
        <v>1294</v>
      </c>
      <c r="M103" s="323" t="s">
        <v>1438</v>
      </c>
      <c r="N103" s="324">
        <v>1</v>
      </c>
      <c r="O103" s="323">
        <v>27</v>
      </c>
    </row>
    <row r="104" spans="1:15">
      <c r="A104" s="323" t="s">
        <v>1408</v>
      </c>
      <c r="B104" s="323" t="s">
        <v>1409</v>
      </c>
      <c r="C104" s="323" t="s">
        <v>817</v>
      </c>
      <c r="D104" s="323" t="s">
        <v>817</v>
      </c>
      <c r="E104" s="323" t="s">
        <v>242</v>
      </c>
      <c r="F104" s="323" t="s">
        <v>620</v>
      </c>
      <c r="G104" s="323" t="s">
        <v>1203</v>
      </c>
      <c r="H104" s="323" t="s">
        <v>1387</v>
      </c>
      <c r="I104" s="323" t="s">
        <v>25</v>
      </c>
      <c r="J104" s="323" t="s">
        <v>1436</v>
      </c>
      <c r="K104" s="323" t="s">
        <v>1437</v>
      </c>
      <c r="L104" s="323" t="s">
        <v>1388</v>
      </c>
      <c r="M104" s="323" t="s">
        <v>1438</v>
      </c>
      <c r="N104" s="324">
        <v>1</v>
      </c>
      <c r="O104" s="323">
        <v>86</v>
      </c>
    </row>
    <row r="105" spans="1:15">
      <c r="A105" s="323" t="s">
        <v>1193</v>
      </c>
      <c r="B105" s="323" t="s">
        <v>1194</v>
      </c>
      <c r="C105" s="323" t="s">
        <v>817</v>
      </c>
      <c r="D105" s="323" t="s">
        <v>817</v>
      </c>
      <c r="E105" s="323" t="s">
        <v>1195</v>
      </c>
      <c r="F105" s="323" t="s">
        <v>180</v>
      </c>
      <c r="G105" s="323" t="s">
        <v>1500</v>
      </c>
      <c r="H105" s="323" t="s">
        <v>1187</v>
      </c>
      <c r="I105" s="323" t="s">
        <v>1439</v>
      </c>
      <c r="J105" s="323" t="s">
        <v>1436</v>
      </c>
      <c r="K105" s="323" t="s">
        <v>1437</v>
      </c>
      <c r="L105" s="323" t="s">
        <v>1188</v>
      </c>
      <c r="M105" s="323" t="s">
        <v>1440</v>
      </c>
      <c r="N105" s="324">
        <v>1</v>
      </c>
      <c r="O105" s="323">
        <v>80</v>
      </c>
    </row>
    <row r="106" spans="1:15">
      <c r="A106" s="323" t="s">
        <v>1376</v>
      </c>
      <c r="B106" s="323" t="s">
        <v>1377</v>
      </c>
      <c r="C106" s="323" t="s">
        <v>817</v>
      </c>
      <c r="D106" s="323" t="s">
        <v>817</v>
      </c>
      <c r="E106" s="323" t="s">
        <v>1185</v>
      </c>
      <c r="F106" s="323" t="s">
        <v>565</v>
      </c>
      <c r="G106" s="323" t="s">
        <v>1203</v>
      </c>
      <c r="H106" s="323" t="s">
        <v>1372</v>
      </c>
      <c r="I106" s="323" t="s">
        <v>21</v>
      </c>
      <c r="J106" s="323" t="s">
        <v>1436</v>
      </c>
      <c r="K106" s="323" t="s">
        <v>1437</v>
      </c>
      <c r="L106" s="323" t="s">
        <v>1373</v>
      </c>
      <c r="M106" s="323" t="s">
        <v>1438</v>
      </c>
      <c r="N106" s="324">
        <v>1</v>
      </c>
      <c r="O106" s="323">
        <v>57</v>
      </c>
    </row>
    <row r="107" spans="1:15">
      <c r="A107" s="323" t="s">
        <v>1213</v>
      </c>
      <c r="B107" s="323" t="s">
        <v>224</v>
      </c>
      <c r="C107" s="323" t="s">
        <v>817</v>
      </c>
      <c r="D107" s="323" t="s">
        <v>817</v>
      </c>
      <c r="E107" s="323" t="s">
        <v>1185</v>
      </c>
      <c r="F107" s="323" t="s">
        <v>225</v>
      </c>
      <c r="G107" s="323" t="s">
        <v>1203</v>
      </c>
      <c r="H107" s="323" t="s">
        <v>1204</v>
      </c>
      <c r="I107" s="323" t="s">
        <v>184</v>
      </c>
      <c r="J107" s="323" t="s">
        <v>1436</v>
      </c>
      <c r="K107" s="323" t="s">
        <v>1437</v>
      </c>
      <c r="L107" s="323" t="s">
        <v>1205</v>
      </c>
      <c r="M107" s="323" t="s">
        <v>1438</v>
      </c>
      <c r="N107" s="324">
        <v>1</v>
      </c>
      <c r="O107" s="323">
        <v>98</v>
      </c>
    </row>
    <row r="108" spans="1:15">
      <c r="A108" s="323" t="s">
        <v>1515</v>
      </c>
      <c r="B108" s="323" t="s">
        <v>11</v>
      </c>
      <c r="C108" s="323" t="s">
        <v>817</v>
      </c>
      <c r="D108" s="323" t="s">
        <v>817</v>
      </c>
      <c r="E108" s="323" t="s">
        <v>1191</v>
      </c>
      <c r="F108" s="323" t="s">
        <v>1516</v>
      </c>
      <c r="G108" s="323" t="s">
        <v>1203</v>
      </c>
      <c r="H108" s="323" t="s">
        <v>1458</v>
      </c>
      <c r="I108" s="323" t="s">
        <v>477</v>
      </c>
      <c r="J108" s="323" t="s">
        <v>1436</v>
      </c>
      <c r="K108" s="323" t="s">
        <v>1437</v>
      </c>
      <c r="L108" s="323" t="s">
        <v>1459</v>
      </c>
      <c r="M108" s="323" t="s">
        <v>1438</v>
      </c>
      <c r="N108" s="324">
        <v>1</v>
      </c>
      <c r="O108" s="323">
        <v>50</v>
      </c>
    </row>
    <row r="109" spans="1:15">
      <c r="A109" s="323" t="s">
        <v>1418</v>
      </c>
      <c r="B109" s="323" t="s">
        <v>1125</v>
      </c>
      <c r="C109" s="323" t="s">
        <v>817</v>
      </c>
      <c r="D109" s="323" t="s">
        <v>817</v>
      </c>
      <c r="E109" s="323" t="s">
        <v>1212</v>
      </c>
      <c r="F109" s="323" t="s">
        <v>631</v>
      </c>
      <c r="G109" s="323" t="s">
        <v>1203</v>
      </c>
      <c r="H109" s="323" t="s">
        <v>1387</v>
      </c>
      <c r="I109" s="323" t="s">
        <v>25</v>
      </c>
      <c r="J109" s="323" t="s">
        <v>1436</v>
      </c>
      <c r="K109" s="323" t="s">
        <v>1437</v>
      </c>
      <c r="L109" s="323" t="s">
        <v>1388</v>
      </c>
      <c r="M109" s="323" t="s">
        <v>1438</v>
      </c>
      <c r="N109" s="324">
        <v>1</v>
      </c>
      <c r="O109" s="323">
        <v>90</v>
      </c>
    </row>
    <row r="110" spans="1:15" ht="30">
      <c r="A110" s="323" t="s">
        <v>1164</v>
      </c>
      <c r="B110" s="323" t="s">
        <v>1165</v>
      </c>
      <c r="C110" s="323" t="s">
        <v>817</v>
      </c>
      <c r="D110" s="323" t="s">
        <v>817</v>
      </c>
      <c r="E110" s="323" t="s">
        <v>1167</v>
      </c>
      <c r="F110" s="323" t="s">
        <v>151</v>
      </c>
      <c r="G110" s="323" t="s">
        <v>1186</v>
      </c>
      <c r="H110" s="323" t="s">
        <v>1170</v>
      </c>
      <c r="I110" s="323" t="s">
        <v>1435</v>
      </c>
      <c r="J110" s="323" t="s">
        <v>1436</v>
      </c>
      <c r="K110" s="323" t="s">
        <v>1437</v>
      </c>
      <c r="L110" s="323" t="s">
        <v>1171</v>
      </c>
      <c r="M110" s="323" t="s">
        <v>1438</v>
      </c>
      <c r="N110" s="324">
        <v>1</v>
      </c>
      <c r="O110" s="323">
        <v>8</v>
      </c>
    </row>
    <row r="111" spans="1:15">
      <c r="A111" s="323" t="s">
        <v>1206</v>
      </c>
      <c r="B111" s="323" t="s">
        <v>1207</v>
      </c>
      <c r="C111" s="323" t="s">
        <v>817</v>
      </c>
      <c r="D111" s="323" t="s">
        <v>817</v>
      </c>
      <c r="E111" s="323" t="s">
        <v>242</v>
      </c>
      <c r="F111" s="323" t="s">
        <v>205</v>
      </c>
      <c r="G111" s="323" t="s">
        <v>1203</v>
      </c>
      <c r="H111" s="323" t="s">
        <v>1204</v>
      </c>
      <c r="I111" s="323" t="s">
        <v>184</v>
      </c>
      <c r="J111" s="323" t="s">
        <v>1436</v>
      </c>
      <c r="K111" s="323" t="s">
        <v>1437</v>
      </c>
      <c r="L111" s="323" t="s">
        <v>1205</v>
      </c>
      <c r="M111" s="323" t="s">
        <v>1438</v>
      </c>
      <c r="N111" s="324">
        <v>1</v>
      </c>
      <c r="O111" s="323">
        <v>103</v>
      </c>
    </row>
    <row r="112" spans="1:15">
      <c r="A112" s="323" t="s">
        <v>1260</v>
      </c>
      <c r="B112" s="323" t="s">
        <v>901</v>
      </c>
      <c r="C112" s="323" t="s">
        <v>817</v>
      </c>
      <c r="D112" s="323" t="s">
        <v>817</v>
      </c>
      <c r="E112" s="323" t="s">
        <v>1212</v>
      </c>
      <c r="F112" s="323" t="s">
        <v>326</v>
      </c>
      <c r="G112" s="323" t="s">
        <v>1203</v>
      </c>
      <c r="H112" s="323" t="s">
        <v>1249</v>
      </c>
      <c r="I112" s="323" t="s">
        <v>288</v>
      </c>
      <c r="J112" s="323" t="s">
        <v>1436</v>
      </c>
      <c r="K112" s="323" t="s">
        <v>1437</v>
      </c>
      <c r="L112" s="323" t="s">
        <v>1250</v>
      </c>
      <c r="M112" s="323" t="s">
        <v>1438</v>
      </c>
      <c r="N112" s="324">
        <v>1</v>
      </c>
      <c r="O112" s="323">
        <v>42</v>
      </c>
    </row>
    <row r="113" spans="1:15">
      <c r="A113" s="323" t="s">
        <v>1517</v>
      </c>
      <c r="B113" s="323" t="s">
        <v>35</v>
      </c>
      <c r="C113" s="323" t="s">
        <v>817</v>
      </c>
      <c r="D113" s="323" t="s">
        <v>817</v>
      </c>
      <c r="E113" s="323" t="s">
        <v>287</v>
      </c>
      <c r="F113" s="323" t="s">
        <v>1518</v>
      </c>
      <c r="G113" s="323" t="s">
        <v>1203</v>
      </c>
      <c r="H113" s="323" t="s">
        <v>1458</v>
      </c>
      <c r="I113" s="323" t="s">
        <v>477</v>
      </c>
      <c r="J113" s="323" t="s">
        <v>1436</v>
      </c>
      <c r="K113" s="323" t="s">
        <v>1437</v>
      </c>
      <c r="L113" s="323" t="s">
        <v>1459</v>
      </c>
      <c r="M113" s="323" t="s">
        <v>1438</v>
      </c>
      <c r="N113" s="324">
        <v>1</v>
      </c>
      <c r="O113" s="323">
        <v>5</v>
      </c>
    </row>
    <row r="114" spans="1:15">
      <c r="A114" s="323" t="s">
        <v>1231</v>
      </c>
      <c r="B114" s="323" t="s">
        <v>263</v>
      </c>
      <c r="C114" s="323" t="s">
        <v>1232</v>
      </c>
      <c r="D114" s="323" t="s">
        <v>1233</v>
      </c>
      <c r="E114" s="323" t="s">
        <v>1234</v>
      </c>
      <c r="F114" s="323" t="s">
        <v>264</v>
      </c>
      <c r="G114" s="323" t="s">
        <v>1186</v>
      </c>
      <c r="H114" s="323" t="s">
        <v>1204</v>
      </c>
      <c r="I114" s="323" t="s">
        <v>184</v>
      </c>
      <c r="J114" s="323" t="s">
        <v>1436</v>
      </c>
      <c r="K114" s="323" t="s">
        <v>1437</v>
      </c>
      <c r="L114" s="323" t="s">
        <v>1236</v>
      </c>
      <c r="M114" s="323" t="s">
        <v>1440</v>
      </c>
      <c r="N114" s="324">
        <v>1</v>
      </c>
      <c r="O114" s="323">
        <v>97</v>
      </c>
    </row>
    <row r="115" spans="1:15">
      <c r="A115" s="323" t="s">
        <v>1280</v>
      </c>
      <c r="B115" s="323" t="s">
        <v>1281</v>
      </c>
      <c r="C115" s="323" t="s">
        <v>817</v>
      </c>
      <c r="D115" s="323" t="s">
        <v>817</v>
      </c>
      <c r="E115" s="323" t="s">
        <v>242</v>
      </c>
      <c r="F115" s="323" t="s">
        <v>374</v>
      </c>
      <c r="G115" s="323" t="s">
        <v>1200</v>
      </c>
      <c r="H115" s="323" t="s">
        <v>1249</v>
      </c>
      <c r="I115" s="323" t="s">
        <v>288</v>
      </c>
      <c r="J115" s="323" t="s">
        <v>1436</v>
      </c>
      <c r="K115" s="323" t="s">
        <v>1437</v>
      </c>
      <c r="L115" s="323" t="s">
        <v>1250</v>
      </c>
      <c r="M115" s="323" t="s">
        <v>1438</v>
      </c>
      <c r="N115" s="324">
        <v>1</v>
      </c>
      <c r="O115" s="323">
        <v>44</v>
      </c>
    </row>
  </sheetData>
  <mergeCells count="2">
    <mergeCell ref="A1:O1"/>
    <mergeCell ref="A2:O2"/>
  </mergeCells>
  <conditionalFormatting sqref="N5:N115">
    <cfRule type="cellIs" dxfId="1" priority="1" operator="lessThan">
      <formula>0.8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showGridLines="0" workbookViewId="0"/>
  </sheetViews>
  <sheetFormatPr baseColWidth="10" defaultColWidth="9.140625" defaultRowHeight="15"/>
  <cols>
    <col min="1" max="1" width="13" customWidth="1"/>
    <col min="2" max="2" width="12" customWidth="1"/>
    <col min="3" max="3" width="27" customWidth="1"/>
    <col min="4" max="6" width="15" customWidth="1"/>
    <col min="7" max="7" width="12" customWidth="1"/>
    <col min="8" max="8" width="17" customWidth="1"/>
    <col min="9" max="9" width="15" customWidth="1"/>
    <col min="10" max="10" width="21" customWidth="1"/>
    <col min="11" max="11" width="14" customWidth="1"/>
    <col min="12" max="12" width="20" customWidth="1"/>
    <col min="13" max="13" width="11" customWidth="1"/>
  </cols>
  <sheetData>
    <row r="1" spans="1:13" ht="33.950000000000003" customHeight="1">
      <c r="A1" s="428" t="s">
        <v>1519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</row>
    <row r="2" spans="1:13" ht="30" customHeight="1">
      <c r="A2" s="429" t="s">
        <v>1520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</row>
    <row r="4" spans="1:13" ht="32.1" customHeight="1">
      <c r="A4" s="322" t="s">
        <v>1521</v>
      </c>
      <c r="B4" s="322" t="s">
        <v>828</v>
      </c>
      <c r="C4" s="322" t="s">
        <v>1522</v>
      </c>
      <c r="D4" s="322" t="s">
        <v>650</v>
      </c>
      <c r="E4" s="322" t="s">
        <v>1523</v>
      </c>
      <c r="F4" s="322" t="s">
        <v>1524</v>
      </c>
      <c r="G4" s="322" t="s">
        <v>1525</v>
      </c>
      <c r="H4" s="322" t="s">
        <v>1526</v>
      </c>
      <c r="I4" s="322" t="s">
        <v>1157</v>
      </c>
      <c r="J4" s="322" t="s">
        <v>1527</v>
      </c>
      <c r="K4" s="322" t="s">
        <v>1528</v>
      </c>
      <c r="L4" s="322" t="s">
        <v>1529</v>
      </c>
      <c r="M4" s="322" t="s">
        <v>1162</v>
      </c>
    </row>
    <row r="5" spans="1:13">
      <c r="A5" s="323" t="s">
        <v>1530</v>
      </c>
      <c r="B5" s="323"/>
      <c r="C5" s="323" t="s">
        <v>659</v>
      </c>
      <c r="D5" s="323" t="s">
        <v>660</v>
      </c>
      <c r="E5" s="323" t="s">
        <v>661</v>
      </c>
      <c r="F5" s="323" t="s">
        <v>662</v>
      </c>
      <c r="G5" s="323" t="s">
        <v>663</v>
      </c>
      <c r="H5" s="323" t="s">
        <v>664</v>
      </c>
      <c r="I5" s="323" t="s">
        <v>665</v>
      </c>
      <c r="J5" s="323" t="s">
        <v>666</v>
      </c>
      <c r="K5" s="323" t="s">
        <v>663</v>
      </c>
      <c r="L5" s="323" t="s">
        <v>168</v>
      </c>
      <c r="M5" s="323">
        <v>3</v>
      </c>
    </row>
    <row r="6" spans="1:13" ht="30">
      <c r="A6" s="323" t="s">
        <v>1531</v>
      </c>
      <c r="B6" s="323"/>
      <c r="C6" s="323" t="s">
        <v>230</v>
      </c>
      <c r="D6" s="323" t="s">
        <v>667</v>
      </c>
      <c r="E6" s="323" t="s">
        <v>668</v>
      </c>
      <c r="F6" s="323" t="s">
        <v>669</v>
      </c>
      <c r="G6" s="323" t="s">
        <v>670</v>
      </c>
      <c r="H6" s="323" t="s">
        <v>671</v>
      </c>
      <c r="I6" s="323" t="s">
        <v>672</v>
      </c>
      <c r="J6" s="323" t="s">
        <v>673</v>
      </c>
      <c r="K6" s="323" t="s">
        <v>670</v>
      </c>
      <c r="L6" s="323" t="s">
        <v>168</v>
      </c>
      <c r="M6" s="323">
        <v>4</v>
      </c>
    </row>
    <row r="7" spans="1:13" ht="30">
      <c r="A7" s="323" t="s">
        <v>1532</v>
      </c>
      <c r="B7" s="323"/>
      <c r="C7" s="323" t="s">
        <v>674</v>
      </c>
      <c r="D7" s="323" t="s">
        <v>675</v>
      </c>
      <c r="E7" s="323" t="s">
        <v>668</v>
      </c>
      <c r="F7" s="323" t="s">
        <v>676</v>
      </c>
      <c r="G7" s="323" t="s">
        <v>677</v>
      </c>
      <c r="H7" s="323" t="s">
        <v>671</v>
      </c>
      <c r="I7" s="323" t="s">
        <v>672</v>
      </c>
      <c r="J7" s="323"/>
      <c r="K7" s="323" t="s">
        <v>677</v>
      </c>
      <c r="L7" s="323"/>
      <c r="M7" s="323">
        <v>5</v>
      </c>
    </row>
    <row r="8" spans="1:13" ht="30">
      <c r="A8" s="323" t="s">
        <v>1533</v>
      </c>
      <c r="B8" s="323"/>
      <c r="C8" s="323" t="s">
        <v>678</v>
      </c>
      <c r="D8" s="323" t="s">
        <v>679</v>
      </c>
      <c r="E8" s="323" t="s">
        <v>668</v>
      </c>
      <c r="F8" s="323" t="s">
        <v>676</v>
      </c>
      <c r="G8" s="323" t="s">
        <v>680</v>
      </c>
      <c r="H8" s="323" t="s">
        <v>671</v>
      </c>
      <c r="I8" s="323" t="s">
        <v>672</v>
      </c>
      <c r="J8" s="323"/>
      <c r="K8" s="323" t="s">
        <v>680</v>
      </c>
      <c r="L8" s="323"/>
      <c r="M8" s="323">
        <v>6</v>
      </c>
    </row>
    <row r="9" spans="1:13" ht="30">
      <c r="A9" s="323" t="s">
        <v>1534</v>
      </c>
      <c r="B9" s="323"/>
      <c r="C9" s="323" t="s">
        <v>681</v>
      </c>
      <c r="D9" s="323" t="s">
        <v>682</v>
      </c>
      <c r="E9" s="323" t="s">
        <v>668</v>
      </c>
      <c r="F9" s="323" t="s">
        <v>676</v>
      </c>
      <c r="G9" s="323" t="s">
        <v>683</v>
      </c>
      <c r="H9" s="323" t="s">
        <v>671</v>
      </c>
      <c r="I9" s="323" t="s">
        <v>672</v>
      </c>
      <c r="J9" s="323"/>
      <c r="K9" s="323" t="s">
        <v>683</v>
      </c>
      <c r="L9" s="323"/>
      <c r="M9" s="323">
        <v>7</v>
      </c>
    </row>
    <row r="10" spans="1:13" ht="30">
      <c r="A10" s="323" t="s">
        <v>1535</v>
      </c>
      <c r="B10" s="323"/>
      <c r="C10" s="323" t="s">
        <v>684</v>
      </c>
      <c r="D10" s="323" t="s">
        <v>685</v>
      </c>
      <c r="E10" s="323" t="s">
        <v>668</v>
      </c>
      <c r="F10" s="323" t="s">
        <v>669</v>
      </c>
      <c r="G10" s="323" t="s">
        <v>686</v>
      </c>
      <c r="H10" s="323" t="s">
        <v>671</v>
      </c>
      <c r="I10" s="323" t="s">
        <v>687</v>
      </c>
      <c r="J10" s="323" t="s">
        <v>688</v>
      </c>
      <c r="K10" s="323" t="s">
        <v>686</v>
      </c>
      <c r="L10" s="323" t="s">
        <v>168</v>
      </c>
      <c r="M10" s="323">
        <v>8</v>
      </c>
    </row>
    <row r="11" spans="1:13" ht="30">
      <c r="A11" s="323" t="s">
        <v>1536</v>
      </c>
      <c r="B11" s="323"/>
      <c r="C11" s="323" t="s">
        <v>689</v>
      </c>
      <c r="D11" s="323" t="s">
        <v>690</v>
      </c>
      <c r="E11" s="323" t="s">
        <v>661</v>
      </c>
      <c r="F11" s="323" t="s">
        <v>691</v>
      </c>
      <c r="G11" s="323" t="s">
        <v>692</v>
      </c>
      <c r="H11" s="323" t="s">
        <v>671</v>
      </c>
      <c r="I11" s="323" t="s">
        <v>672</v>
      </c>
      <c r="J11" s="323" t="s">
        <v>693</v>
      </c>
      <c r="K11" s="323" t="s">
        <v>692</v>
      </c>
      <c r="L11" s="323" t="s">
        <v>168</v>
      </c>
      <c r="M11" s="323">
        <v>9</v>
      </c>
    </row>
    <row r="12" spans="1:13" ht="30">
      <c r="A12" s="323" t="s">
        <v>1537</v>
      </c>
      <c r="B12" s="323"/>
      <c r="C12" s="323" t="s">
        <v>97</v>
      </c>
      <c r="D12" s="323" t="s">
        <v>694</v>
      </c>
      <c r="E12" s="323" t="s">
        <v>661</v>
      </c>
      <c r="F12" s="323" t="s">
        <v>695</v>
      </c>
      <c r="G12" s="323" t="s">
        <v>696</v>
      </c>
      <c r="H12" s="323" t="s">
        <v>671</v>
      </c>
      <c r="I12" s="323" t="s">
        <v>672</v>
      </c>
      <c r="J12" s="323" t="s">
        <v>697</v>
      </c>
      <c r="K12" s="323" t="s">
        <v>696</v>
      </c>
      <c r="L12" s="323" t="s">
        <v>168</v>
      </c>
      <c r="M12" s="323">
        <v>10</v>
      </c>
    </row>
    <row r="13" spans="1:13" ht="30">
      <c r="A13" s="323" t="s">
        <v>1538</v>
      </c>
      <c r="B13" s="323"/>
      <c r="C13" s="323" t="s">
        <v>698</v>
      </c>
      <c r="D13" s="323" t="s">
        <v>699</v>
      </c>
      <c r="E13" s="323" t="s">
        <v>661</v>
      </c>
      <c r="F13" s="323" t="s">
        <v>700</v>
      </c>
      <c r="G13" s="323" t="s">
        <v>701</v>
      </c>
      <c r="H13" s="323" t="s">
        <v>671</v>
      </c>
      <c r="I13" s="323" t="s">
        <v>672</v>
      </c>
      <c r="J13" s="323" t="s">
        <v>702</v>
      </c>
      <c r="K13" s="323" t="s">
        <v>701</v>
      </c>
      <c r="L13" s="323" t="s">
        <v>168</v>
      </c>
      <c r="M13" s="323">
        <v>11</v>
      </c>
    </row>
    <row r="14" spans="1:13" ht="30">
      <c r="A14" s="323" t="s">
        <v>1539</v>
      </c>
      <c r="B14" s="323"/>
      <c r="C14" s="323" t="s">
        <v>703</v>
      </c>
      <c r="D14" s="323" t="s">
        <v>704</v>
      </c>
      <c r="E14" s="323" t="s">
        <v>661</v>
      </c>
      <c r="F14" s="323" t="s">
        <v>695</v>
      </c>
      <c r="G14" s="323" t="s">
        <v>705</v>
      </c>
      <c r="H14" s="323" t="s">
        <v>671</v>
      </c>
      <c r="I14" s="323" t="s">
        <v>672</v>
      </c>
      <c r="J14" s="323" t="s">
        <v>1540</v>
      </c>
      <c r="K14" s="323" t="s">
        <v>705</v>
      </c>
      <c r="L14" s="323" t="s">
        <v>168</v>
      </c>
      <c r="M14" s="323">
        <v>12</v>
      </c>
    </row>
    <row r="15" spans="1:13" ht="30">
      <c r="A15" s="323" t="s">
        <v>1541</v>
      </c>
      <c r="B15" s="323"/>
      <c r="C15" s="323" t="s">
        <v>706</v>
      </c>
      <c r="D15" s="323" t="s">
        <v>707</v>
      </c>
      <c r="E15" s="323" t="s">
        <v>661</v>
      </c>
      <c r="F15" s="323" t="s">
        <v>695</v>
      </c>
      <c r="G15" s="323" t="s">
        <v>708</v>
      </c>
      <c r="H15" s="323" t="s">
        <v>671</v>
      </c>
      <c r="I15" s="323" t="s">
        <v>672</v>
      </c>
      <c r="J15" s="323" t="s">
        <v>1542</v>
      </c>
      <c r="K15" s="323" t="s">
        <v>708</v>
      </c>
      <c r="L15" s="323" t="s">
        <v>168</v>
      </c>
      <c r="M15" s="323">
        <v>13</v>
      </c>
    </row>
    <row r="16" spans="1:13" ht="30">
      <c r="A16" s="323" t="s">
        <v>1543</v>
      </c>
      <c r="B16" s="323"/>
      <c r="C16" s="323" t="s">
        <v>709</v>
      </c>
      <c r="D16" s="323" t="s">
        <v>710</v>
      </c>
      <c r="E16" s="323" t="s">
        <v>661</v>
      </c>
      <c r="F16" s="323" t="s">
        <v>700</v>
      </c>
      <c r="G16" s="323" t="s">
        <v>711</v>
      </c>
      <c r="H16" s="323"/>
      <c r="I16" s="323"/>
      <c r="J16" s="323"/>
      <c r="K16" s="323" t="s">
        <v>711</v>
      </c>
      <c r="L16" s="323"/>
      <c r="M16" s="323">
        <v>14</v>
      </c>
    </row>
    <row r="17" spans="1:13" ht="30">
      <c r="A17" s="323" t="s">
        <v>1544</v>
      </c>
      <c r="B17" s="323"/>
      <c r="C17" s="323" t="s">
        <v>712</v>
      </c>
      <c r="D17" s="323" t="s">
        <v>713</v>
      </c>
      <c r="E17" s="323" t="s">
        <v>661</v>
      </c>
      <c r="F17" s="323" t="s">
        <v>714</v>
      </c>
      <c r="G17" s="323" t="s">
        <v>715</v>
      </c>
      <c r="H17" s="323" t="s">
        <v>664</v>
      </c>
      <c r="I17" s="323" t="s">
        <v>716</v>
      </c>
      <c r="J17" s="323" t="s">
        <v>717</v>
      </c>
      <c r="K17" s="323" t="s">
        <v>715</v>
      </c>
      <c r="L17" s="323"/>
      <c r="M17" s="323">
        <v>15</v>
      </c>
    </row>
    <row r="18" spans="1:13" ht="30">
      <c r="A18" s="323" t="s">
        <v>1545</v>
      </c>
      <c r="B18" s="323"/>
      <c r="C18" s="323" t="s">
        <v>718</v>
      </c>
      <c r="D18" s="323" t="s">
        <v>719</v>
      </c>
      <c r="E18" s="323" t="s">
        <v>661</v>
      </c>
      <c r="F18" s="323" t="s">
        <v>720</v>
      </c>
      <c r="G18" s="323" t="s">
        <v>721</v>
      </c>
      <c r="H18" s="323" t="s">
        <v>671</v>
      </c>
      <c r="I18" s="323" t="s">
        <v>672</v>
      </c>
      <c r="J18" s="323" t="s">
        <v>722</v>
      </c>
      <c r="K18" s="323" t="s">
        <v>721</v>
      </c>
      <c r="L18" s="323" t="s">
        <v>168</v>
      </c>
      <c r="M18" s="323">
        <v>16</v>
      </c>
    </row>
    <row r="19" spans="1:13" ht="30">
      <c r="A19" s="323" t="s">
        <v>1546</v>
      </c>
      <c r="B19" s="323"/>
      <c r="C19" s="323" t="s">
        <v>723</v>
      </c>
      <c r="D19" s="323" t="s">
        <v>724</v>
      </c>
      <c r="E19" s="323" t="s">
        <v>668</v>
      </c>
      <c r="F19" s="323" t="s">
        <v>725</v>
      </c>
      <c r="G19" s="323" t="s">
        <v>726</v>
      </c>
      <c r="H19" s="323" t="s">
        <v>671</v>
      </c>
      <c r="I19" s="323" t="s">
        <v>672</v>
      </c>
      <c r="J19" s="323" t="s">
        <v>727</v>
      </c>
      <c r="K19" s="323" t="s">
        <v>726</v>
      </c>
      <c r="L19" s="323" t="s">
        <v>168</v>
      </c>
      <c r="M19" s="323">
        <v>17</v>
      </c>
    </row>
    <row r="20" spans="1:13" ht="30">
      <c r="A20" s="323" t="s">
        <v>1547</v>
      </c>
      <c r="B20" s="323"/>
      <c r="C20" s="323" t="s">
        <v>498</v>
      </c>
      <c r="D20" s="323" t="s">
        <v>728</v>
      </c>
      <c r="E20" s="323" t="s">
        <v>661</v>
      </c>
      <c r="F20" s="323" t="s">
        <v>729</v>
      </c>
      <c r="G20" s="323" t="s">
        <v>730</v>
      </c>
      <c r="H20" s="323" t="s">
        <v>671</v>
      </c>
      <c r="I20" s="323" t="s">
        <v>672</v>
      </c>
      <c r="J20" s="323" t="s">
        <v>731</v>
      </c>
      <c r="K20" s="323" t="s">
        <v>730</v>
      </c>
      <c r="L20" s="323" t="s">
        <v>168</v>
      </c>
      <c r="M20" s="323">
        <v>18</v>
      </c>
    </row>
    <row r="21" spans="1:13" ht="30">
      <c r="A21" s="323" t="s">
        <v>1548</v>
      </c>
      <c r="B21" s="323"/>
      <c r="C21" s="323" t="s">
        <v>732</v>
      </c>
      <c r="D21" s="323" t="s">
        <v>733</v>
      </c>
      <c r="E21" s="323" t="s">
        <v>734</v>
      </c>
      <c r="F21" s="323" t="s">
        <v>735</v>
      </c>
      <c r="G21" s="323" t="s">
        <v>736</v>
      </c>
      <c r="H21" s="323" t="s">
        <v>671</v>
      </c>
      <c r="I21" s="323"/>
      <c r="J21" s="323"/>
      <c r="K21" s="323" t="s">
        <v>736</v>
      </c>
      <c r="L21" s="323" t="s">
        <v>168</v>
      </c>
      <c r="M21" s="323">
        <v>19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showGridLines="0" workbookViewId="0"/>
  </sheetViews>
  <sheetFormatPr baseColWidth="10" defaultColWidth="9.140625" defaultRowHeight="15"/>
  <cols>
    <col min="1" max="1" width="13" customWidth="1"/>
    <col min="2" max="2" width="12" customWidth="1"/>
    <col min="3" max="3" width="14" customWidth="1"/>
    <col min="4" max="4" width="16" customWidth="1"/>
    <col min="5" max="6" width="12" customWidth="1"/>
    <col min="7" max="7" width="28" customWidth="1"/>
    <col min="8" max="8" width="22" customWidth="1"/>
    <col min="9" max="9" width="15" customWidth="1"/>
    <col min="10" max="10" width="18" customWidth="1"/>
    <col min="11" max="11" width="15" customWidth="1"/>
    <col min="12" max="12" width="24" customWidth="1"/>
    <col min="13" max="13" width="11" customWidth="1"/>
  </cols>
  <sheetData>
    <row r="1" spans="1:13" ht="33.950000000000003" customHeight="1">
      <c r="A1" s="428" t="s">
        <v>1549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</row>
    <row r="2" spans="1:13" ht="30" customHeight="1">
      <c r="A2" s="429" t="s">
        <v>1550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</row>
    <row r="4" spans="1:13" ht="32.1" customHeight="1">
      <c r="A4" s="322" t="s">
        <v>1551</v>
      </c>
      <c r="B4" s="322" t="s">
        <v>1552</v>
      </c>
      <c r="C4" s="322" t="s">
        <v>1553</v>
      </c>
      <c r="D4" s="322" t="s">
        <v>1554</v>
      </c>
      <c r="E4" s="322" t="s">
        <v>1555</v>
      </c>
      <c r="F4" s="322" t="s">
        <v>1556</v>
      </c>
      <c r="G4" s="322" t="s">
        <v>1557</v>
      </c>
      <c r="H4" s="322" t="s">
        <v>1527</v>
      </c>
      <c r="I4" s="322" t="s">
        <v>1558</v>
      </c>
      <c r="J4" s="322" t="s">
        <v>1559</v>
      </c>
      <c r="K4" s="322" t="s">
        <v>1560</v>
      </c>
      <c r="L4" s="322" t="s">
        <v>1561</v>
      </c>
      <c r="M4" s="322" t="s">
        <v>1162</v>
      </c>
    </row>
    <row r="5" spans="1:13" ht="30">
      <c r="A5" s="323" t="s">
        <v>1562</v>
      </c>
      <c r="B5" s="323" t="s">
        <v>748</v>
      </c>
      <c r="C5" s="323" t="s">
        <v>749</v>
      </c>
      <c r="D5" s="323" t="s">
        <v>750</v>
      </c>
      <c r="E5" s="323" t="s">
        <v>1563</v>
      </c>
      <c r="F5" s="323" t="s">
        <v>751</v>
      </c>
      <c r="G5" s="323"/>
      <c r="H5" s="323"/>
      <c r="I5" s="323"/>
      <c r="J5" s="323" t="s">
        <v>752</v>
      </c>
      <c r="K5" s="323" t="s">
        <v>753</v>
      </c>
      <c r="L5" s="323" t="s">
        <v>754</v>
      </c>
      <c r="M5" s="323">
        <v>3</v>
      </c>
    </row>
    <row r="6" spans="1:13" ht="30">
      <c r="A6" s="323" t="s">
        <v>1564</v>
      </c>
      <c r="B6" s="323" t="s">
        <v>755</v>
      </c>
      <c r="C6" s="323" t="s">
        <v>749</v>
      </c>
      <c r="D6" s="323" t="s">
        <v>756</v>
      </c>
      <c r="E6" s="323" t="s">
        <v>1565</v>
      </c>
      <c r="F6" s="323" t="s">
        <v>757</v>
      </c>
      <c r="G6" s="323" t="s">
        <v>758</v>
      </c>
      <c r="H6" s="323" t="s">
        <v>759</v>
      </c>
      <c r="I6" s="323"/>
      <c r="J6" s="323" t="s">
        <v>760</v>
      </c>
      <c r="K6" s="323" t="s">
        <v>753</v>
      </c>
      <c r="L6" s="323" t="s">
        <v>168</v>
      </c>
      <c r="M6" s="323">
        <v>4</v>
      </c>
    </row>
    <row r="7" spans="1:13" ht="30">
      <c r="A7" s="323" t="s">
        <v>1566</v>
      </c>
      <c r="B7" s="323" t="s">
        <v>761</v>
      </c>
      <c r="C7" s="323" t="s">
        <v>749</v>
      </c>
      <c r="D7" s="323" t="s">
        <v>756</v>
      </c>
      <c r="E7" s="323" t="s">
        <v>1565</v>
      </c>
      <c r="F7" s="323" t="s">
        <v>757</v>
      </c>
      <c r="G7" s="323" t="s">
        <v>762</v>
      </c>
      <c r="H7" s="323" t="s">
        <v>763</v>
      </c>
      <c r="I7" s="323"/>
      <c r="J7" s="323" t="s">
        <v>764</v>
      </c>
      <c r="K7" s="323" t="s">
        <v>753</v>
      </c>
      <c r="L7" s="323" t="s">
        <v>765</v>
      </c>
      <c r="M7" s="323">
        <v>5</v>
      </c>
    </row>
    <row r="8" spans="1:13" ht="30">
      <c r="A8" s="323" t="s">
        <v>1567</v>
      </c>
      <c r="B8" s="323" t="s">
        <v>766</v>
      </c>
      <c r="C8" s="323" t="s">
        <v>749</v>
      </c>
      <c r="D8" s="323" t="s">
        <v>756</v>
      </c>
      <c r="E8" s="323" t="s">
        <v>1568</v>
      </c>
      <c r="F8" s="323" t="s">
        <v>767</v>
      </c>
      <c r="G8" s="323" t="s">
        <v>758</v>
      </c>
      <c r="H8" s="323" t="s">
        <v>768</v>
      </c>
      <c r="I8" s="323" t="s">
        <v>1569</v>
      </c>
      <c r="J8" s="323" t="s">
        <v>769</v>
      </c>
      <c r="K8" s="323" t="s">
        <v>753</v>
      </c>
      <c r="L8" s="323" t="s">
        <v>168</v>
      </c>
      <c r="M8" s="323">
        <v>6</v>
      </c>
    </row>
    <row r="9" spans="1:13" ht="30">
      <c r="A9" s="323" t="s">
        <v>1570</v>
      </c>
      <c r="B9" s="323" t="s">
        <v>770</v>
      </c>
      <c r="C9" s="323" t="s">
        <v>749</v>
      </c>
      <c r="D9" s="323" t="s">
        <v>771</v>
      </c>
      <c r="E9" s="323" t="s">
        <v>1571</v>
      </c>
      <c r="F9" s="323" t="s">
        <v>751</v>
      </c>
      <c r="G9" s="323" t="s">
        <v>758</v>
      </c>
      <c r="H9" s="323" t="s">
        <v>772</v>
      </c>
      <c r="I9" s="323" t="s">
        <v>1572</v>
      </c>
      <c r="J9" s="323" t="s">
        <v>773</v>
      </c>
      <c r="K9" s="323" t="s">
        <v>753</v>
      </c>
      <c r="L9" s="323" t="s">
        <v>168</v>
      </c>
      <c r="M9" s="323">
        <v>7</v>
      </c>
    </row>
    <row r="10" spans="1:13" ht="30">
      <c r="A10" s="323" t="s">
        <v>1573</v>
      </c>
      <c r="B10" s="323" t="s">
        <v>774</v>
      </c>
      <c r="C10" s="323" t="s">
        <v>749</v>
      </c>
      <c r="D10" s="323" t="s">
        <v>775</v>
      </c>
      <c r="E10" s="323" t="s">
        <v>1571</v>
      </c>
      <c r="F10" s="323" t="s">
        <v>767</v>
      </c>
      <c r="G10" s="323" t="s">
        <v>776</v>
      </c>
      <c r="H10" s="323" t="s">
        <v>777</v>
      </c>
      <c r="I10" s="323" t="s">
        <v>1574</v>
      </c>
      <c r="J10" s="323" t="s">
        <v>778</v>
      </c>
      <c r="K10" s="323" t="s">
        <v>753</v>
      </c>
      <c r="L10" s="323" t="s">
        <v>168</v>
      </c>
      <c r="M10" s="323">
        <v>8</v>
      </c>
    </row>
    <row r="11" spans="1:13" ht="30">
      <c r="A11" s="323" t="s">
        <v>1575</v>
      </c>
      <c r="B11" s="323" t="s">
        <v>779</v>
      </c>
      <c r="C11" s="323" t="s">
        <v>749</v>
      </c>
      <c r="D11" s="323" t="s">
        <v>775</v>
      </c>
      <c r="E11" s="323" t="s">
        <v>1571</v>
      </c>
      <c r="F11" s="323" t="s">
        <v>767</v>
      </c>
      <c r="G11" s="323" t="s">
        <v>776</v>
      </c>
      <c r="H11" s="323" t="s">
        <v>780</v>
      </c>
      <c r="I11" s="323" t="s">
        <v>1576</v>
      </c>
      <c r="J11" s="323" t="s">
        <v>781</v>
      </c>
      <c r="K11" s="323" t="s">
        <v>753</v>
      </c>
      <c r="L11" s="323" t="s">
        <v>168</v>
      </c>
      <c r="M11" s="323">
        <v>9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8"/>
  <sheetViews>
    <sheetView showGridLines="0" workbookViewId="0"/>
  </sheetViews>
  <sheetFormatPr baseColWidth="10" defaultColWidth="9.140625" defaultRowHeight="15"/>
  <cols>
    <col min="1" max="1" width="13" customWidth="1"/>
    <col min="2" max="2" width="25" customWidth="1"/>
    <col min="3" max="3" width="33" customWidth="1"/>
    <col min="4" max="4" width="12" customWidth="1"/>
    <col min="5" max="5" width="34" customWidth="1"/>
    <col min="6" max="6" width="24" customWidth="1"/>
    <col min="7" max="7" width="22" customWidth="1"/>
    <col min="8" max="8" width="14" customWidth="1"/>
    <col min="9" max="9" width="17" customWidth="1"/>
    <col min="10" max="10" width="11" customWidth="1"/>
    <col min="11" max="11" width="16" customWidth="1"/>
    <col min="12" max="12" width="18" customWidth="1"/>
    <col min="13" max="13" width="17" customWidth="1"/>
    <col min="14" max="14" width="25" customWidth="1"/>
    <col min="15" max="15" width="18" customWidth="1"/>
    <col min="16" max="16" width="30" customWidth="1"/>
  </cols>
  <sheetData>
    <row r="1" spans="1:16" ht="33.950000000000003" customHeight="1">
      <c r="A1" s="428" t="s">
        <v>1577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</row>
    <row r="2" spans="1:16" ht="30" customHeight="1">
      <c r="A2" s="429" t="s">
        <v>1578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</row>
    <row r="4" spans="1:16" ht="32.1" customHeight="1">
      <c r="A4" s="322" t="s">
        <v>1579</v>
      </c>
      <c r="B4" s="322" t="s">
        <v>1580</v>
      </c>
      <c r="C4" s="322" t="s">
        <v>1581</v>
      </c>
      <c r="D4" s="322" t="s">
        <v>828</v>
      </c>
      <c r="E4" s="322" t="s">
        <v>1582</v>
      </c>
      <c r="F4" s="322" t="s">
        <v>1583</v>
      </c>
      <c r="G4" s="322" t="s">
        <v>1584</v>
      </c>
      <c r="H4" s="322" t="s">
        <v>1585</v>
      </c>
      <c r="I4" s="322" t="s">
        <v>1586</v>
      </c>
      <c r="J4" s="322" t="s">
        <v>1587</v>
      </c>
      <c r="K4" s="322" t="s">
        <v>1588</v>
      </c>
      <c r="L4" s="322" t="s">
        <v>1589</v>
      </c>
      <c r="M4" s="322" t="s">
        <v>1590</v>
      </c>
      <c r="N4" s="322" t="s">
        <v>1591</v>
      </c>
      <c r="O4" s="322" t="s">
        <v>1592</v>
      </c>
      <c r="P4" s="322" t="s">
        <v>1593</v>
      </c>
    </row>
    <row r="5" spans="1:16" ht="30">
      <c r="A5" s="323" t="s">
        <v>1594</v>
      </c>
      <c r="B5" s="323" t="s">
        <v>1595</v>
      </c>
      <c r="C5" s="323" t="s">
        <v>7</v>
      </c>
      <c r="D5" s="323"/>
      <c r="E5" s="323" t="s">
        <v>8</v>
      </c>
      <c r="F5" s="323" t="s">
        <v>742</v>
      </c>
      <c r="G5" s="323"/>
      <c r="H5" s="323"/>
      <c r="I5" s="323" t="s">
        <v>804</v>
      </c>
      <c r="J5" s="324">
        <v>1</v>
      </c>
      <c r="K5" s="323"/>
      <c r="L5" s="323"/>
      <c r="M5" s="323" t="s">
        <v>1596</v>
      </c>
      <c r="N5" s="323" t="s">
        <v>1597</v>
      </c>
      <c r="O5" s="323"/>
      <c r="P5" s="323"/>
    </row>
    <row r="6" spans="1:16">
      <c r="A6" s="323" t="s">
        <v>1598</v>
      </c>
      <c r="B6" s="323" t="s">
        <v>1599</v>
      </c>
      <c r="C6" s="323" t="s">
        <v>9</v>
      </c>
      <c r="D6" s="323"/>
      <c r="E6" s="323"/>
      <c r="F6" s="323" t="s">
        <v>742</v>
      </c>
      <c r="G6" s="323"/>
      <c r="H6" s="323"/>
      <c r="I6" s="323" t="s">
        <v>804</v>
      </c>
      <c r="J6" s="324">
        <v>1</v>
      </c>
      <c r="K6" s="323"/>
      <c r="L6" s="323"/>
      <c r="M6" s="323" t="s">
        <v>1596</v>
      </c>
      <c r="N6" s="323" t="s">
        <v>1600</v>
      </c>
      <c r="O6" s="323"/>
      <c r="P6" s="323"/>
    </row>
    <row r="7" spans="1:16" ht="30">
      <c r="A7" s="323" t="s">
        <v>1601</v>
      </c>
      <c r="B7" s="323" t="s">
        <v>1595</v>
      </c>
      <c r="C7" s="323" t="s">
        <v>11</v>
      </c>
      <c r="D7" s="323"/>
      <c r="E7" s="323" t="s">
        <v>12</v>
      </c>
      <c r="F7" s="323" t="s">
        <v>799</v>
      </c>
      <c r="G7" s="323"/>
      <c r="H7" s="323"/>
      <c r="I7" s="323" t="s">
        <v>804</v>
      </c>
      <c r="J7" s="324">
        <v>1</v>
      </c>
      <c r="K7" s="323"/>
      <c r="L7" s="323"/>
      <c r="M7" s="323" t="s">
        <v>1596</v>
      </c>
      <c r="N7" s="323" t="s">
        <v>1602</v>
      </c>
      <c r="O7" s="323"/>
      <c r="P7" s="323"/>
    </row>
    <row r="8" spans="1:16">
      <c r="A8" s="323" t="s">
        <v>1603</v>
      </c>
      <c r="B8" s="323" t="s">
        <v>1599</v>
      </c>
      <c r="C8" s="323" t="s">
        <v>13</v>
      </c>
      <c r="D8" s="323"/>
      <c r="E8" s="323"/>
      <c r="F8" s="323" t="s">
        <v>742</v>
      </c>
      <c r="G8" s="323"/>
      <c r="H8" s="323"/>
      <c r="I8" s="323" t="s">
        <v>792</v>
      </c>
      <c r="J8" s="324">
        <v>0</v>
      </c>
      <c r="K8" s="323"/>
      <c r="L8" s="323"/>
      <c r="M8" s="323" t="s">
        <v>1604</v>
      </c>
      <c r="N8" s="323" t="s">
        <v>1605</v>
      </c>
      <c r="O8" s="323"/>
      <c r="P8" s="323"/>
    </row>
    <row r="9" spans="1:16" ht="30">
      <c r="A9" s="323" t="s">
        <v>1606</v>
      </c>
      <c r="B9" s="323" t="s">
        <v>1595</v>
      </c>
      <c r="C9" s="323" t="s">
        <v>15</v>
      </c>
      <c r="D9" s="323"/>
      <c r="E9" s="323" t="s">
        <v>16</v>
      </c>
      <c r="F9" s="323" t="s">
        <v>799</v>
      </c>
      <c r="G9" s="323"/>
      <c r="H9" s="323"/>
      <c r="I9" s="323" t="s">
        <v>804</v>
      </c>
      <c r="J9" s="324">
        <v>1</v>
      </c>
      <c r="K9" s="323"/>
      <c r="L9" s="323"/>
      <c r="M9" s="323" t="s">
        <v>1596</v>
      </c>
      <c r="N9" s="323" t="s">
        <v>1607</v>
      </c>
      <c r="O9" s="323"/>
      <c r="P9" s="323"/>
    </row>
    <row r="10" spans="1:16">
      <c r="A10" s="323" t="s">
        <v>1608</v>
      </c>
      <c r="B10" s="323" t="s">
        <v>1599</v>
      </c>
      <c r="C10" s="323" t="s">
        <v>17</v>
      </c>
      <c r="D10" s="323"/>
      <c r="E10" s="323"/>
      <c r="F10" s="323" t="s">
        <v>742</v>
      </c>
      <c r="G10" s="323"/>
      <c r="H10" s="323"/>
      <c r="I10" s="323" t="s">
        <v>792</v>
      </c>
      <c r="J10" s="324">
        <v>0</v>
      </c>
      <c r="K10" s="323"/>
      <c r="L10" s="323"/>
      <c r="M10" s="323" t="s">
        <v>1604</v>
      </c>
      <c r="N10" s="323" t="s">
        <v>1609</v>
      </c>
      <c r="O10" s="323"/>
      <c r="P10" s="323"/>
    </row>
    <row r="11" spans="1:16" ht="30">
      <c r="A11" s="323" t="s">
        <v>1610</v>
      </c>
      <c r="B11" s="323" t="s">
        <v>1595</v>
      </c>
      <c r="C11" s="323" t="s">
        <v>19</v>
      </c>
      <c r="D11" s="323"/>
      <c r="E11" s="323"/>
      <c r="F11" s="323" t="s">
        <v>742</v>
      </c>
      <c r="G11" s="323"/>
      <c r="H11" s="323"/>
      <c r="I11" s="323" t="s">
        <v>804</v>
      </c>
      <c r="J11" s="324">
        <v>1</v>
      </c>
      <c r="K11" s="323"/>
      <c r="L11" s="323"/>
      <c r="M11" s="323" t="s">
        <v>1596</v>
      </c>
      <c r="N11" s="323" t="s">
        <v>1611</v>
      </c>
      <c r="O11" s="323"/>
      <c r="P11" s="323"/>
    </row>
    <row r="12" spans="1:16">
      <c r="A12" s="323" t="s">
        <v>1612</v>
      </c>
      <c r="B12" s="323" t="s">
        <v>1599</v>
      </c>
      <c r="C12" s="323" t="s">
        <v>20</v>
      </c>
      <c r="D12" s="323"/>
      <c r="E12" s="323"/>
      <c r="F12" s="323" t="s">
        <v>799</v>
      </c>
      <c r="G12" s="323"/>
      <c r="H12" s="323"/>
      <c r="I12" s="323" t="s">
        <v>792</v>
      </c>
      <c r="J12" s="324">
        <v>0</v>
      </c>
      <c r="K12" s="323"/>
      <c r="L12" s="323"/>
      <c r="M12" s="323" t="s">
        <v>1604</v>
      </c>
      <c r="N12" s="323" t="s">
        <v>1613</v>
      </c>
      <c r="O12" s="323"/>
      <c r="P12" s="323"/>
    </row>
    <row r="13" spans="1:16" ht="30">
      <c r="A13" s="323" t="s">
        <v>1614</v>
      </c>
      <c r="B13" s="323" t="s">
        <v>1595</v>
      </c>
      <c r="C13" s="323" t="s">
        <v>22</v>
      </c>
      <c r="D13" s="323"/>
      <c r="E13" s="323" t="s">
        <v>23</v>
      </c>
      <c r="F13" s="323" t="s">
        <v>799</v>
      </c>
      <c r="G13" s="323"/>
      <c r="H13" s="323"/>
      <c r="I13" s="323" t="s">
        <v>804</v>
      </c>
      <c r="J13" s="324">
        <v>1</v>
      </c>
      <c r="K13" s="323"/>
      <c r="L13" s="323"/>
      <c r="M13" s="323" t="s">
        <v>1596</v>
      </c>
      <c r="N13" s="323" t="s">
        <v>1615</v>
      </c>
      <c r="O13" s="323"/>
      <c r="P13" s="323"/>
    </row>
    <row r="14" spans="1:16">
      <c r="A14" s="323" t="s">
        <v>1616</v>
      </c>
      <c r="B14" s="323" t="s">
        <v>1599</v>
      </c>
      <c r="C14" s="323" t="s">
        <v>24</v>
      </c>
      <c r="D14" s="323"/>
      <c r="E14" s="323"/>
      <c r="F14" s="323" t="s">
        <v>742</v>
      </c>
      <c r="G14" s="323"/>
      <c r="H14" s="323"/>
      <c r="I14" s="323" t="s">
        <v>792</v>
      </c>
      <c r="J14" s="324">
        <v>0</v>
      </c>
      <c r="K14" s="323"/>
      <c r="L14" s="323"/>
      <c r="M14" s="323" t="s">
        <v>1604</v>
      </c>
      <c r="N14" s="323" t="s">
        <v>1617</v>
      </c>
      <c r="O14" s="323"/>
      <c r="P14" s="323"/>
    </row>
    <row r="15" spans="1:16" ht="30">
      <c r="A15" s="323" t="s">
        <v>1618</v>
      </c>
      <c r="B15" s="323" t="s">
        <v>1595</v>
      </c>
      <c r="C15" s="323" t="s">
        <v>26</v>
      </c>
      <c r="D15" s="323"/>
      <c r="E15" s="323" t="s">
        <v>27</v>
      </c>
      <c r="F15" s="323" t="s">
        <v>742</v>
      </c>
      <c r="G15" s="323"/>
      <c r="H15" s="323"/>
      <c r="I15" s="323" t="s">
        <v>804</v>
      </c>
      <c r="J15" s="324">
        <v>1</v>
      </c>
      <c r="K15" s="323"/>
      <c r="L15" s="323"/>
      <c r="M15" s="323" t="s">
        <v>1596</v>
      </c>
      <c r="N15" s="323" t="s">
        <v>1619</v>
      </c>
      <c r="O15" s="323"/>
      <c r="P15" s="323"/>
    </row>
    <row r="16" spans="1:16">
      <c r="A16" s="323" t="s">
        <v>1620</v>
      </c>
      <c r="B16" s="323" t="s">
        <v>1599</v>
      </c>
      <c r="C16" s="323" t="s">
        <v>28</v>
      </c>
      <c r="D16" s="323"/>
      <c r="E16" s="323"/>
      <c r="F16" s="323" t="s">
        <v>742</v>
      </c>
      <c r="G16" s="323"/>
      <c r="H16" s="323"/>
      <c r="I16" s="323" t="s">
        <v>792</v>
      </c>
      <c r="J16" s="324">
        <v>0</v>
      </c>
      <c r="K16" s="323"/>
      <c r="L16" s="323"/>
      <c r="M16" s="323" t="s">
        <v>1604</v>
      </c>
      <c r="N16" s="323" t="s">
        <v>1621</v>
      </c>
      <c r="O16" s="323"/>
      <c r="P16" s="323"/>
    </row>
    <row r="17" spans="1:16" ht="30">
      <c r="A17" s="323" t="s">
        <v>1622</v>
      </c>
      <c r="B17" s="323" t="s">
        <v>1595</v>
      </c>
      <c r="C17" s="323" t="s">
        <v>30</v>
      </c>
      <c r="D17" s="323"/>
      <c r="E17" s="323" t="s">
        <v>31</v>
      </c>
      <c r="F17" s="323" t="s">
        <v>742</v>
      </c>
      <c r="G17" s="323"/>
      <c r="H17" s="323"/>
      <c r="I17" s="323" t="s">
        <v>792</v>
      </c>
      <c r="J17" s="324">
        <v>0</v>
      </c>
      <c r="K17" s="323"/>
      <c r="L17" s="323"/>
      <c r="M17" s="323" t="s">
        <v>1623</v>
      </c>
      <c r="N17" s="323" t="s">
        <v>1624</v>
      </c>
      <c r="O17" s="323"/>
      <c r="P17" s="323"/>
    </row>
    <row r="18" spans="1:16">
      <c r="A18" s="323" t="s">
        <v>1625</v>
      </c>
      <c r="B18" s="323" t="s">
        <v>1599</v>
      </c>
      <c r="C18" s="323" t="s">
        <v>32</v>
      </c>
      <c r="D18" s="323"/>
      <c r="E18" s="323"/>
      <c r="F18" s="323" t="s">
        <v>742</v>
      </c>
      <c r="G18" s="323"/>
      <c r="H18" s="323"/>
      <c r="I18" s="323" t="s">
        <v>792</v>
      </c>
      <c r="J18" s="324">
        <v>0</v>
      </c>
      <c r="K18" s="323"/>
      <c r="L18" s="323"/>
      <c r="M18" s="323" t="s">
        <v>1623</v>
      </c>
      <c r="N18" s="323" t="s">
        <v>1626</v>
      </c>
      <c r="O18" s="323"/>
      <c r="P18" s="323"/>
    </row>
    <row r="19" spans="1:16" ht="30">
      <c r="A19" s="323" t="s">
        <v>1627</v>
      </c>
      <c r="B19" s="323" t="s">
        <v>1595</v>
      </c>
      <c r="C19" s="323" t="s">
        <v>34</v>
      </c>
      <c r="D19" s="323"/>
      <c r="E19" s="323" t="s">
        <v>35</v>
      </c>
      <c r="F19" s="323" t="s">
        <v>742</v>
      </c>
      <c r="G19" s="323"/>
      <c r="H19" s="323"/>
      <c r="I19" s="323" t="s">
        <v>804</v>
      </c>
      <c r="J19" s="324">
        <v>1</v>
      </c>
      <c r="K19" s="323"/>
      <c r="L19" s="323"/>
      <c r="M19" s="323" t="s">
        <v>1596</v>
      </c>
      <c r="N19" s="323" t="s">
        <v>1628</v>
      </c>
      <c r="O19" s="323"/>
      <c r="P19" s="323"/>
    </row>
    <row r="20" spans="1:16">
      <c r="A20" s="323" t="s">
        <v>1629</v>
      </c>
      <c r="B20" s="323" t="s">
        <v>1599</v>
      </c>
      <c r="C20" s="323" t="s">
        <v>36</v>
      </c>
      <c r="D20" s="323"/>
      <c r="E20" s="323"/>
      <c r="F20" s="323" t="s">
        <v>799</v>
      </c>
      <c r="G20" s="323"/>
      <c r="H20" s="323"/>
      <c r="I20" s="323" t="s">
        <v>792</v>
      </c>
      <c r="J20" s="324">
        <v>0</v>
      </c>
      <c r="K20" s="323"/>
      <c r="L20" s="323"/>
      <c r="M20" s="323" t="s">
        <v>1604</v>
      </c>
      <c r="N20" s="323" t="s">
        <v>1630</v>
      </c>
      <c r="O20" s="323"/>
      <c r="P20" s="323"/>
    </row>
    <row r="21" spans="1:16" ht="30">
      <c r="A21" s="323" t="s">
        <v>1631</v>
      </c>
      <c r="B21" s="323" t="s">
        <v>1595</v>
      </c>
      <c r="C21" s="323" t="s">
        <v>37</v>
      </c>
      <c r="D21" s="323"/>
      <c r="E21" s="323" t="s">
        <v>38</v>
      </c>
      <c r="F21" s="323" t="s">
        <v>799</v>
      </c>
      <c r="G21" s="323"/>
      <c r="H21" s="323"/>
      <c r="I21" s="323" t="s">
        <v>804</v>
      </c>
      <c r="J21" s="324">
        <v>1</v>
      </c>
      <c r="K21" s="323"/>
      <c r="L21" s="323"/>
      <c r="M21" s="323" t="s">
        <v>1596</v>
      </c>
      <c r="N21" s="323" t="s">
        <v>1632</v>
      </c>
      <c r="O21" s="323"/>
      <c r="P21" s="323"/>
    </row>
    <row r="22" spans="1:16">
      <c r="A22" s="323" t="s">
        <v>1633</v>
      </c>
      <c r="B22" s="323" t="s">
        <v>1599</v>
      </c>
      <c r="C22" s="323" t="s">
        <v>39</v>
      </c>
      <c r="D22" s="323"/>
      <c r="E22" s="323"/>
      <c r="F22" s="323" t="s">
        <v>742</v>
      </c>
      <c r="G22" s="323"/>
      <c r="H22" s="323"/>
      <c r="I22" s="323" t="s">
        <v>792</v>
      </c>
      <c r="J22" s="324">
        <v>0</v>
      </c>
      <c r="K22" s="323"/>
      <c r="L22" s="323"/>
      <c r="M22" s="323" t="s">
        <v>1604</v>
      </c>
      <c r="N22" s="323" t="s">
        <v>1634</v>
      </c>
      <c r="O22" s="323"/>
      <c r="P22" s="323"/>
    </row>
    <row r="23" spans="1:16" ht="30">
      <c r="A23" s="323" t="s">
        <v>1635</v>
      </c>
      <c r="B23" s="323" t="s">
        <v>1595</v>
      </c>
      <c r="C23" s="323" t="s">
        <v>40</v>
      </c>
      <c r="D23" s="323"/>
      <c r="E23" s="323" t="s">
        <v>41</v>
      </c>
      <c r="F23" s="323" t="s">
        <v>799</v>
      </c>
      <c r="G23" s="323"/>
      <c r="H23" s="323"/>
      <c r="I23" s="323" t="s">
        <v>792</v>
      </c>
      <c r="J23" s="324">
        <v>0</v>
      </c>
      <c r="K23" s="323"/>
      <c r="L23" s="323"/>
      <c r="M23" s="323" t="s">
        <v>1623</v>
      </c>
      <c r="N23" s="323" t="s">
        <v>1636</v>
      </c>
      <c r="O23" s="323"/>
      <c r="P23" s="323"/>
    </row>
    <row r="24" spans="1:16">
      <c r="A24" s="323" t="s">
        <v>1637</v>
      </c>
      <c r="B24" s="323" t="s">
        <v>1599</v>
      </c>
      <c r="C24" s="323" t="s">
        <v>42</v>
      </c>
      <c r="D24" s="323"/>
      <c r="E24" s="323"/>
      <c r="F24" s="323" t="s">
        <v>742</v>
      </c>
      <c r="G24" s="323"/>
      <c r="H24" s="323"/>
      <c r="I24" s="323" t="s">
        <v>792</v>
      </c>
      <c r="J24" s="324">
        <v>0</v>
      </c>
      <c r="K24" s="323"/>
      <c r="L24" s="323"/>
      <c r="M24" s="323" t="s">
        <v>1604</v>
      </c>
      <c r="N24" s="323" t="s">
        <v>1638</v>
      </c>
      <c r="O24" s="323"/>
      <c r="P24" s="323"/>
    </row>
    <row r="25" spans="1:16" ht="30">
      <c r="A25" s="323" t="s">
        <v>1639</v>
      </c>
      <c r="B25" s="323" t="s">
        <v>1595</v>
      </c>
      <c r="C25" s="323" t="s">
        <v>43</v>
      </c>
      <c r="D25" s="323"/>
      <c r="E25" s="323" t="s">
        <v>44</v>
      </c>
      <c r="F25" s="323" t="s">
        <v>742</v>
      </c>
      <c r="G25" s="323"/>
      <c r="H25" s="323"/>
      <c r="I25" s="323" t="s">
        <v>804</v>
      </c>
      <c r="J25" s="324">
        <v>1</v>
      </c>
      <c r="K25" s="323"/>
      <c r="L25" s="323"/>
      <c r="M25" s="323" t="s">
        <v>1596</v>
      </c>
      <c r="N25" s="323" t="s">
        <v>1640</v>
      </c>
      <c r="O25" s="323"/>
      <c r="P25" s="323"/>
    </row>
    <row r="26" spans="1:16">
      <c r="A26" s="323" t="s">
        <v>1641</v>
      </c>
      <c r="B26" s="323" t="s">
        <v>1599</v>
      </c>
      <c r="C26" s="323" t="s">
        <v>45</v>
      </c>
      <c r="D26" s="323"/>
      <c r="E26" s="323"/>
      <c r="F26" s="323" t="s">
        <v>799</v>
      </c>
      <c r="G26" s="323"/>
      <c r="H26" s="323"/>
      <c r="I26" s="323" t="s">
        <v>792</v>
      </c>
      <c r="J26" s="324">
        <v>0</v>
      </c>
      <c r="K26" s="323"/>
      <c r="L26" s="323"/>
      <c r="M26" s="323" t="s">
        <v>1604</v>
      </c>
      <c r="N26" s="323" t="s">
        <v>1642</v>
      </c>
      <c r="O26" s="323"/>
      <c r="P26" s="323"/>
    </row>
    <row r="27" spans="1:16" ht="30">
      <c r="A27" s="323" t="s">
        <v>1643</v>
      </c>
      <c r="B27" s="323" t="s">
        <v>1595</v>
      </c>
      <c r="C27" s="323" t="s">
        <v>47</v>
      </c>
      <c r="D27" s="323"/>
      <c r="E27" s="323" t="s">
        <v>48</v>
      </c>
      <c r="F27" s="323" t="s">
        <v>799</v>
      </c>
      <c r="G27" s="323"/>
      <c r="H27" s="323"/>
      <c r="I27" s="323" t="s">
        <v>792</v>
      </c>
      <c r="J27" s="324">
        <v>0</v>
      </c>
      <c r="K27" s="323"/>
      <c r="L27" s="323"/>
      <c r="M27" s="323" t="s">
        <v>1604</v>
      </c>
      <c r="N27" s="323" t="s">
        <v>1644</v>
      </c>
      <c r="O27" s="323"/>
      <c r="P27" s="323"/>
    </row>
    <row r="28" spans="1:16">
      <c r="A28" s="323" t="s">
        <v>1645</v>
      </c>
      <c r="B28" s="323" t="s">
        <v>1599</v>
      </c>
      <c r="C28" s="323" t="s">
        <v>49</v>
      </c>
      <c r="D28" s="323"/>
      <c r="E28" s="323"/>
      <c r="F28" s="323" t="s">
        <v>742</v>
      </c>
      <c r="G28" s="323"/>
      <c r="H28" s="323"/>
      <c r="I28" s="323" t="s">
        <v>792</v>
      </c>
      <c r="J28" s="324">
        <v>0</v>
      </c>
      <c r="K28" s="323"/>
      <c r="L28" s="323"/>
      <c r="M28" s="323" t="s">
        <v>1604</v>
      </c>
      <c r="N28" s="323" t="s">
        <v>1646</v>
      </c>
      <c r="O28" s="323"/>
      <c r="P28" s="323"/>
    </row>
    <row r="29" spans="1:16" ht="30">
      <c r="A29" s="323" t="s">
        <v>1647</v>
      </c>
      <c r="B29" s="323" t="s">
        <v>1595</v>
      </c>
      <c r="C29" s="323" t="s">
        <v>50</v>
      </c>
      <c r="D29" s="323"/>
      <c r="E29" s="323" t="s">
        <v>48</v>
      </c>
      <c r="F29" s="323" t="s">
        <v>742</v>
      </c>
      <c r="G29" s="323"/>
      <c r="H29" s="323"/>
      <c r="I29" s="323" t="s">
        <v>792</v>
      </c>
      <c r="J29" s="324">
        <v>0</v>
      </c>
      <c r="K29" s="323"/>
      <c r="L29" s="323"/>
      <c r="M29" s="323" t="s">
        <v>1623</v>
      </c>
      <c r="N29" s="323" t="s">
        <v>1648</v>
      </c>
      <c r="O29" s="323"/>
      <c r="P29" s="323"/>
    </row>
    <row r="30" spans="1:16">
      <c r="A30" s="323" t="s">
        <v>1649</v>
      </c>
      <c r="B30" s="323" t="s">
        <v>1599</v>
      </c>
      <c r="C30" s="323" t="s">
        <v>51</v>
      </c>
      <c r="D30" s="323"/>
      <c r="E30" s="323"/>
      <c r="F30" s="323" t="s">
        <v>742</v>
      </c>
      <c r="G30" s="323"/>
      <c r="H30" s="323"/>
      <c r="I30" s="323" t="s">
        <v>792</v>
      </c>
      <c r="J30" s="324">
        <v>0</v>
      </c>
      <c r="K30" s="323"/>
      <c r="L30" s="323"/>
      <c r="M30" s="323" t="s">
        <v>1604</v>
      </c>
      <c r="N30" s="323" t="s">
        <v>1650</v>
      </c>
      <c r="O30" s="323"/>
      <c r="P30" s="323"/>
    </row>
    <row r="31" spans="1:16" ht="30">
      <c r="A31" s="323" t="s">
        <v>1651</v>
      </c>
      <c r="B31" s="323" t="s">
        <v>1595</v>
      </c>
      <c r="C31" s="323" t="s">
        <v>52</v>
      </c>
      <c r="D31" s="323"/>
      <c r="E31" s="323" t="s">
        <v>53</v>
      </c>
      <c r="F31" s="323" t="s">
        <v>799</v>
      </c>
      <c r="G31" s="323"/>
      <c r="H31" s="323"/>
      <c r="I31" s="323" t="s">
        <v>792</v>
      </c>
      <c r="J31" s="324">
        <v>0</v>
      </c>
      <c r="K31" s="323"/>
      <c r="L31" s="323"/>
      <c r="M31" s="323" t="s">
        <v>1604</v>
      </c>
      <c r="N31" s="323" t="s">
        <v>1652</v>
      </c>
      <c r="O31" s="323"/>
      <c r="P31" s="323"/>
    </row>
    <row r="32" spans="1:16">
      <c r="A32" s="323" t="s">
        <v>1653</v>
      </c>
      <c r="B32" s="323" t="s">
        <v>1599</v>
      </c>
      <c r="C32" s="323" t="s">
        <v>54</v>
      </c>
      <c r="D32" s="323"/>
      <c r="E32" s="323"/>
      <c r="F32" s="323" t="s">
        <v>742</v>
      </c>
      <c r="G32" s="323"/>
      <c r="H32" s="323"/>
      <c r="I32" s="323" t="s">
        <v>792</v>
      </c>
      <c r="J32" s="324">
        <v>0</v>
      </c>
      <c r="K32" s="323"/>
      <c r="L32" s="323"/>
      <c r="M32" s="323" t="s">
        <v>1604</v>
      </c>
      <c r="N32" s="323" t="s">
        <v>1654</v>
      </c>
      <c r="O32" s="323"/>
      <c r="P32" s="323"/>
    </row>
    <row r="33" spans="1:16" ht="30">
      <c r="A33" s="323" t="s">
        <v>1655</v>
      </c>
      <c r="B33" s="323" t="s">
        <v>1595</v>
      </c>
      <c r="C33" s="323" t="s">
        <v>55</v>
      </c>
      <c r="D33" s="323"/>
      <c r="E33" s="323" t="s">
        <v>48</v>
      </c>
      <c r="F33" s="323" t="s">
        <v>742</v>
      </c>
      <c r="G33" s="323"/>
      <c r="H33" s="323"/>
      <c r="I33" s="323" t="s">
        <v>792</v>
      </c>
      <c r="J33" s="324">
        <v>0</v>
      </c>
      <c r="K33" s="323"/>
      <c r="L33" s="323"/>
      <c r="M33" s="323" t="s">
        <v>1604</v>
      </c>
      <c r="N33" s="323" t="s">
        <v>1656</v>
      </c>
      <c r="O33" s="323"/>
      <c r="P33" s="323"/>
    </row>
    <row r="34" spans="1:16" ht="30">
      <c r="A34" s="323" t="s">
        <v>1657</v>
      </c>
      <c r="B34" s="323" t="s">
        <v>1595</v>
      </c>
      <c r="C34" s="323" t="s">
        <v>56</v>
      </c>
      <c r="D34" s="323"/>
      <c r="E34" s="323" t="s">
        <v>57</v>
      </c>
      <c r="F34" s="323" t="s">
        <v>742</v>
      </c>
      <c r="G34" s="323"/>
      <c r="H34" s="323"/>
      <c r="I34" s="323" t="s">
        <v>792</v>
      </c>
      <c r="J34" s="324">
        <v>0</v>
      </c>
      <c r="K34" s="323"/>
      <c r="L34" s="323"/>
      <c r="M34" s="323" t="s">
        <v>1604</v>
      </c>
      <c r="N34" s="323" t="s">
        <v>1658</v>
      </c>
      <c r="O34" s="323"/>
      <c r="P34" s="323"/>
    </row>
    <row r="35" spans="1:16" ht="30">
      <c r="A35" s="323" t="s">
        <v>1659</v>
      </c>
      <c r="B35" s="323" t="s">
        <v>1595</v>
      </c>
      <c r="C35" s="323" t="s">
        <v>58</v>
      </c>
      <c r="D35" s="323"/>
      <c r="E35" s="323" t="s">
        <v>59</v>
      </c>
      <c r="F35" s="323" t="s">
        <v>742</v>
      </c>
      <c r="G35" s="323"/>
      <c r="H35" s="323"/>
      <c r="I35" s="323" t="s">
        <v>792</v>
      </c>
      <c r="J35" s="324">
        <v>0</v>
      </c>
      <c r="K35" s="323"/>
      <c r="L35" s="323"/>
      <c r="M35" s="323" t="s">
        <v>1604</v>
      </c>
      <c r="N35" s="323" t="s">
        <v>1660</v>
      </c>
      <c r="O35" s="323"/>
      <c r="P35" s="323"/>
    </row>
    <row r="36" spans="1:16">
      <c r="A36" s="323" t="s">
        <v>1661</v>
      </c>
      <c r="B36" s="323" t="s">
        <v>1599</v>
      </c>
      <c r="C36" s="323" t="s">
        <v>60</v>
      </c>
      <c r="D36" s="323"/>
      <c r="E36" s="323"/>
      <c r="F36" s="323" t="s">
        <v>742</v>
      </c>
      <c r="G36" s="323"/>
      <c r="H36" s="323"/>
      <c r="I36" s="323" t="s">
        <v>792</v>
      </c>
      <c r="J36" s="324">
        <v>0</v>
      </c>
      <c r="K36" s="323"/>
      <c r="L36" s="323"/>
      <c r="M36" s="323" t="s">
        <v>1604</v>
      </c>
      <c r="N36" s="323" t="s">
        <v>1662</v>
      </c>
      <c r="O36" s="323"/>
      <c r="P36" s="323"/>
    </row>
    <row r="37" spans="1:16" ht="30">
      <c r="A37" s="323" t="s">
        <v>1663</v>
      </c>
      <c r="B37" s="323" t="s">
        <v>1595</v>
      </c>
      <c r="C37" s="323" t="s">
        <v>61</v>
      </c>
      <c r="D37" s="323"/>
      <c r="E37" s="323"/>
      <c r="F37" s="323" t="s">
        <v>742</v>
      </c>
      <c r="G37" s="323"/>
      <c r="H37" s="323"/>
      <c r="I37" s="323" t="s">
        <v>792</v>
      </c>
      <c r="J37" s="324">
        <v>0</v>
      </c>
      <c r="K37" s="323"/>
      <c r="L37" s="323"/>
      <c r="M37" s="323" t="s">
        <v>1604</v>
      </c>
      <c r="N37" s="323" t="s">
        <v>1664</v>
      </c>
      <c r="O37" s="323"/>
      <c r="P37" s="323"/>
    </row>
    <row r="38" spans="1:16" ht="30">
      <c r="A38" s="323" t="s">
        <v>1665</v>
      </c>
      <c r="B38" s="323" t="s">
        <v>1595</v>
      </c>
      <c r="C38" s="323" t="s">
        <v>913</v>
      </c>
      <c r="D38" s="323"/>
      <c r="E38" s="323" t="s">
        <v>63</v>
      </c>
      <c r="F38" s="323" t="s">
        <v>742</v>
      </c>
      <c r="G38" s="323"/>
      <c r="H38" s="323"/>
      <c r="I38" s="323" t="s">
        <v>792</v>
      </c>
      <c r="J38" s="324">
        <v>0</v>
      </c>
      <c r="K38" s="323"/>
      <c r="L38" s="323"/>
      <c r="M38" s="323" t="s">
        <v>1604</v>
      </c>
      <c r="N38" s="323" t="s">
        <v>1666</v>
      </c>
      <c r="O38" s="323"/>
      <c r="P38" s="323"/>
    </row>
    <row r="39" spans="1:16">
      <c r="A39" s="323" t="s">
        <v>1667</v>
      </c>
      <c r="B39" s="323" t="s">
        <v>1599</v>
      </c>
      <c r="C39" s="323" t="s">
        <v>64</v>
      </c>
      <c r="D39" s="323"/>
      <c r="E39" s="323"/>
      <c r="F39" s="323" t="s">
        <v>742</v>
      </c>
      <c r="G39" s="323"/>
      <c r="H39" s="323"/>
      <c r="I39" s="323" t="s">
        <v>792</v>
      </c>
      <c r="J39" s="324">
        <v>0</v>
      </c>
      <c r="K39" s="323"/>
      <c r="L39" s="323"/>
      <c r="M39" s="323" t="s">
        <v>1604</v>
      </c>
      <c r="N39" s="323" t="s">
        <v>1668</v>
      </c>
      <c r="O39" s="323"/>
      <c r="P39" s="323"/>
    </row>
    <row r="40" spans="1:16" ht="30">
      <c r="A40" s="323" t="s">
        <v>1669</v>
      </c>
      <c r="B40" s="323" t="s">
        <v>1595</v>
      </c>
      <c r="C40" s="323" t="s">
        <v>65</v>
      </c>
      <c r="D40" s="323"/>
      <c r="E40" s="323" t="s">
        <v>66</v>
      </c>
      <c r="F40" s="323" t="s">
        <v>799</v>
      </c>
      <c r="G40" s="323"/>
      <c r="H40" s="323"/>
      <c r="I40" s="323" t="s">
        <v>792</v>
      </c>
      <c r="J40" s="324">
        <v>0</v>
      </c>
      <c r="K40" s="323"/>
      <c r="L40" s="323"/>
      <c r="M40" s="323" t="s">
        <v>1604</v>
      </c>
      <c r="N40" s="323" t="s">
        <v>1670</v>
      </c>
      <c r="O40" s="323"/>
      <c r="P40" s="323"/>
    </row>
    <row r="41" spans="1:16">
      <c r="A41" s="323" t="s">
        <v>1671</v>
      </c>
      <c r="B41" s="323" t="s">
        <v>1599</v>
      </c>
      <c r="C41" s="323" t="s">
        <v>67</v>
      </c>
      <c r="D41" s="323"/>
      <c r="E41" s="323"/>
      <c r="F41" s="323" t="s">
        <v>742</v>
      </c>
      <c r="G41" s="323"/>
      <c r="H41" s="323"/>
      <c r="I41" s="323" t="s">
        <v>792</v>
      </c>
      <c r="J41" s="324">
        <v>0</v>
      </c>
      <c r="K41" s="323"/>
      <c r="L41" s="323"/>
      <c r="M41" s="323" t="s">
        <v>1604</v>
      </c>
      <c r="N41" s="323" t="s">
        <v>1672</v>
      </c>
      <c r="O41" s="323"/>
      <c r="P41" s="323"/>
    </row>
    <row r="42" spans="1:16" ht="30">
      <c r="A42" s="323" t="s">
        <v>1673</v>
      </c>
      <c r="B42" s="323" t="s">
        <v>1595</v>
      </c>
      <c r="C42" s="323" t="s">
        <v>68</v>
      </c>
      <c r="D42" s="323"/>
      <c r="E42" s="323" t="s">
        <v>69</v>
      </c>
      <c r="F42" s="323" t="s">
        <v>742</v>
      </c>
      <c r="G42" s="323"/>
      <c r="H42" s="323"/>
      <c r="I42" s="323" t="s">
        <v>792</v>
      </c>
      <c r="J42" s="324">
        <v>0</v>
      </c>
      <c r="K42" s="323"/>
      <c r="L42" s="323"/>
      <c r="M42" s="323" t="s">
        <v>1604</v>
      </c>
      <c r="N42" s="323" t="s">
        <v>1674</v>
      </c>
      <c r="O42" s="323"/>
      <c r="P42" s="323"/>
    </row>
    <row r="43" spans="1:16">
      <c r="A43" s="323" t="s">
        <v>1675</v>
      </c>
      <c r="B43" s="323" t="s">
        <v>1599</v>
      </c>
      <c r="C43" s="323" t="s">
        <v>70</v>
      </c>
      <c r="D43" s="323"/>
      <c r="E43" s="323"/>
      <c r="F43" s="323" t="s">
        <v>742</v>
      </c>
      <c r="G43" s="323"/>
      <c r="H43" s="323"/>
      <c r="I43" s="323" t="s">
        <v>792</v>
      </c>
      <c r="J43" s="324">
        <v>0</v>
      </c>
      <c r="K43" s="323"/>
      <c r="L43" s="323"/>
      <c r="M43" s="323" t="s">
        <v>1604</v>
      </c>
      <c r="N43" s="323" t="s">
        <v>1676</v>
      </c>
      <c r="O43" s="323"/>
      <c r="P43" s="323"/>
    </row>
    <row r="44" spans="1:16" ht="30">
      <c r="A44" s="323" t="s">
        <v>1677</v>
      </c>
      <c r="B44" s="323" t="s">
        <v>1595</v>
      </c>
      <c r="C44" s="323" t="s">
        <v>71</v>
      </c>
      <c r="D44" s="323"/>
      <c r="E44" s="323" t="s">
        <v>72</v>
      </c>
      <c r="F44" s="323" t="s">
        <v>742</v>
      </c>
      <c r="G44" s="323"/>
      <c r="H44" s="323"/>
      <c r="I44" s="323" t="s">
        <v>792</v>
      </c>
      <c r="J44" s="324">
        <v>0</v>
      </c>
      <c r="K44" s="323"/>
      <c r="L44" s="323"/>
      <c r="M44" s="323" t="s">
        <v>1604</v>
      </c>
      <c r="N44" s="323" t="s">
        <v>1678</v>
      </c>
      <c r="O44" s="323"/>
      <c r="P44" s="323"/>
    </row>
    <row r="45" spans="1:16">
      <c r="A45" s="323" t="s">
        <v>1679</v>
      </c>
      <c r="B45" s="323" t="s">
        <v>1599</v>
      </c>
      <c r="C45" s="323" t="s">
        <v>73</v>
      </c>
      <c r="D45" s="323"/>
      <c r="E45" s="323"/>
      <c r="F45" s="323" t="s">
        <v>742</v>
      </c>
      <c r="G45" s="323"/>
      <c r="H45" s="323"/>
      <c r="I45" s="323" t="s">
        <v>792</v>
      </c>
      <c r="J45" s="324">
        <v>0</v>
      </c>
      <c r="K45" s="323"/>
      <c r="L45" s="323"/>
      <c r="M45" s="323" t="s">
        <v>1604</v>
      </c>
      <c r="N45" s="323" t="s">
        <v>1680</v>
      </c>
      <c r="O45" s="323"/>
      <c r="P45" s="323"/>
    </row>
    <row r="46" spans="1:16" ht="30">
      <c r="A46" s="323" t="s">
        <v>1681</v>
      </c>
      <c r="B46" s="323" t="s">
        <v>1595</v>
      </c>
      <c r="C46" s="323" t="s">
        <v>76</v>
      </c>
      <c r="D46" s="323"/>
      <c r="E46" s="323" t="s">
        <v>1682</v>
      </c>
      <c r="F46" s="323" t="s">
        <v>799</v>
      </c>
      <c r="G46" s="323"/>
      <c r="H46" s="323"/>
      <c r="I46" s="323" t="s">
        <v>792</v>
      </c>
      <c r="J46" s="324">
        <v>0</v>
      </c>
      <c r="K46" s="323"/>
      <c r="L46" s="323"/>
      <c r="M46" s="323" t="s">
        <v>1604</v>
      </c>
      <c r="N46" s="323" t="s">
        <v>1683</v>
      </c>
      <c r="O46" s="323"/>
      <c r="P46" s="323"/>
    </row>
    <row r="47" spans="1:16">
      <c r="A47" s="323" t="s">
        <v>1684</v>
      </c>
      <c r="B47" s="323" t="s">
        <v>1599</v>
      </c>
      <c r="C47" s="323" t="s">
        <v>78</v>
      </c>
      <c r="D47" s="323"/>
      <c r="E47" s="323"/>
      <c r="F47" s="323" t="s">
        <v>742</v>
      </c>
      <c r="G47" s="323"/>
      <c r="H47" s="323"/>
      <c r="I47" s="323" t="s">
        <v>792</v>
      </c>
      <c r="J47" s="324">
        <v>0</v>
      </c>
      <c r="K47" s="323"/>
      <c r="L47" s="323"/>
      <c r="M47" s="323" t="s">
        <v>1604</v>
      </c>
      <c r="N47" s="323" t="s">
        <v>1685</v>
      </c>
      <c r="O47" s="323"/>
      <c r="P47" s="323"/>
    </row>
    <row r="48" spans="1:16">
      <c r="A48" s="323" t="s">
        <v>1686</v>
      </c>
      <c r="B48" s="323" t="s">
        <v>1599</v>
      </c>
      <c r="C48" s="323" t="s">
        <v>80</v>
      </c>
      <c r="D48" s="323"/>
      <c r="E48" s="323"/>
      <c r="F48" s="323" t="s">
        <v>742</v>
      </c>
      <c r="G48" s="323"/>
      <c r="H48" s="323"/>
      <c r="I48" s="323" t="s">
        <v>792</v>
      </c>
      <c r="J48" s="324">
        <v>0</v>
      </c>
      <c r="K48" s="323"/>
      <c r="L48" s="323"/>
      <c r="M48" s="323" t="s">
        <v>1604</v>
      </c>
      <c r="N48" s="323" t="s">
        <v>1687</v>
      </c>
      <c r="O48" s="323"/>
      <c r="P48" s="323"/>
    </row>
    <row r="49" spans="1:16" ht="30">
      <c r="A49" s="323" t="s">
        <v>1688</v>
      </c>
      <c r="B49" s="323" t="s">
        <v>1595</v>
      </c>
      <c r="C49" s="323" t="s">
        <v>81</v>
      </c>
      <c r="D49" s="323"/>
      <c r="E49" s="323" t="s">
        <v>69</v>
      </c>
      <c r="F49" s="323" t="s">
        <v>742</v>
      </c>
      <c r="G49" s="323"/>
      <c r="H49" s="323"/>
      <c r="I49" s="323" t="s">
        <v>792</v>
      </c>
      <c r="J49" s="324">
        <v>0</v>
      </c>
      <c r="K49" s="323"/>
      <c r="L49" s="323"/>
      <c r="M49" s="323" t="s">
        <v>1604</v>
      </c>
      <c r="N49" s="323" t="s">
        <v>1689</v>
      </c>
      <c r="O49" s="323"/>
      <c r="P49" s="323"/>
    </row>
    <row r="50" spans="1:16" ht="30">
      <c r="A50" s="323" t="s">
        <v>1690</v>
      </c>
      <c r="B50" s="323" t="s">
        <v>1595</v>
      </c>
      <c r="C50" s="323" t="s">
        <v>82</v>
      </c>
      <c r="D50" s="323"/>
      <c r="E50" s="323"/>
      <c r="F50" s="323" t="s">
        <v>742</v>
      </c>
      <c r="G50" s="323"/>
      <c r="H50" s="323"/>
      <c r="I50" s="323" t="s">
        <v>792</v>
      </c>
      <c r="J50" s="324">
        <v>0</v>
      </c>
      <c r="K50" s="323"/>
      <c r="L50" s="323"/>
      <c r="M50" s="323" t="s">
        <v>1623</v>
      </c>
      <c r="N50" s="323" t="s">
        <v>1691</v>
      </c>
      <c r="O50" s="323"/>
      <c r="P50" s="323"/>
    </row>
    <row r="51" spans="1:16">
      <c r="A51" s="323" t="s">
        <v>1692</v>
      </c>
      <c r="B51" s="323" t="s">
        <v>1599</v>
      </c>
      <c r="C51" s="323" t="s">
        <v>83</v>
      </c>
      <c r="D51" s="323"/>
      <c r="E51" s="323"/>
      <c r="F51" s="323" t="s">
        <v>742</v>
      </c>
      <c r="G51" s="323"/>
      <c r="H51" s="323"/>
      <c r="I51" s="323" t="s">
        <v>792</v>
      </c>
      <c r="J51" s="324">
        <v>0</v>
      </c>
      <c r="K51" s="323"/>
      <c r="L51" s="323"/>
      <c r="M51" s="323" t="s">
        <v>1604</v>
      </c>
      <c r="N51" s="323" t="s">
        <v>1693</v>
      </c>
      <c r="O51" s="323"/>
      <c r="P51" s="323"/>
    </row>
    <row r="52" spans="1:16" ht="30">
      <c r="A52" s="323" t="s">
        <v>1694</v>
      </c>
      <c r="B52" s="323" t="s">
        <v>1595</v>
      </c>
      <c r="C52" s="323" t="s">
        <v>84</v>
      </c>
      <c r="D52" s="323"/>
      <c r="E52" s="323" t="s">
        <v>85</v>
      </c>
      <c r="F52" s="323" t="s">
        <v>799</v>
      </c>
      <c r="G52" s="323"/>
      <c r="H52" s="323"/>
      <c r="I52" s="323" t="s">
        <v>792</v>
      </c>
      <c r="J52" s="324">
        <v>0</v>
      </c>
      <c r="K52" s="323"/>
      <c r="L52" s="323"/>
      <c r="M52" s="323" t="s">
        <v>1623</v>
      </c>
      <c r="N52" s="323" t="s">
        <v>1695</v>
      </c>
      <c r="O52" s="323"/>
      <c r="P52" s="323"/>
    </row>
    <row r="53" spans="1:16">
      <c r="A53" s="323" t="s">
        <v>1696</v>
      </c>
      <c r="B53" s="323" t="s">
        <v>1599</v>
      </c>
      <c r="C53" s="323" t="s">
        <v>86</v>
      </c>
      <c r="D53" s="323"/>
      <c r="E53" s="323"/>
      <c r="F53" s="323" t="s">
        <v>742</v>
      </c>
      <c r="G53" s="323"/>
      <c r="H53" s="323"/>
      <c r="I53" s="323" t="s">
        <v>792</v>
      </c>
      <c r="J53" s="324">
        <v>0</v>
      </c>
      <c r="K53" s="323"/>
      <c r="L53" s="323"/>
      <c r="M53" s="323" t="s">
        <v>1604</v>
      </c>
      <c r="N53" s="323" t="s">
        <v>1697</v>
      </c>
      <c r="O53" s="323"/>
      <c r="P53" s="323"/>
    </row>
    <row r="54" spans="1:16" ht="30">
      <c r="A54" s="323" t="s">
        <v>1698</v>
      </c>
      <c r="B54" s="323" t="s">
        <v>1595</v>
      </c>
      <c r="C54" s="323" t="s">
        <v>87</v>
      </c>
      <c r="D54" s="323"/>
      <c r="E54" s="323" t="s">
        <v>69</v>
      </c>
      <c r="F54" s="323" t="s">
        <v>799</v>
      </c>
      <c r="G54" s="323"/>
      <c r="H54" s="323"/>
      <c r="I54" s="323" t="s">
        <v>804</v>
      </c>
      <c r="J54" s="324">
        <v>1</v>
      </c>
      <c r="K54" s="323"/>
      <c r="L54" s="323"/>
      <c r="M54" s="323" t="s">
        <v>1596</v>
      </c>
      <c r="N54" s="323" t="s">
        <v>1699</v>
      </c>
      <c r="O54" s="323"/>
      <c r="P54" s="323"/>
    </row>
    <row r="55" spans="1:16" ht="30">
      <c r="A55" s="323" t="s">
        <v>1700</v>
      </c>
      <c r="B55" s="323" t="s">
        <v>1595</v>
      </c>
      <c r="C55" s="323" t="s">
        <v>88</v>
      </c>
      <c r="D55" s="323"/>
      <c r="E55" s="323" t="s">
        <v>89</v>
      </c>
      <c r="F55" s="323" t="s">
        <v>742</v>
      </c>
      <c r="G55" s="323"/>
      <c r="H55" s="323"/>
      <c r="I55" s="323" t="s">
        <v>792</v>
      </c>
      <c r="J55" s="324">
        <v>0</v>
      </c>
      <c r="K55" s="323"/>
      <c r="L55" s="323"/>
      <c r="M55" s="323" t="s">
        <v>1604</v>
      </c>
      <c r="N55" s="323" t="s">
        <v>1701</v>
      </c>
      <c r="O55" s="323"/>
      <c r="P55" s="323"/>
    </row>
    <row r="56" spans="1:16" ht="30">
      <c r="A56" s="323" t="s">
        <v>1702</v>
      </c>
      <c r="B56" s="323" t="s">
        <v>1595</v>
      </c>
      <c r="C56" s="323" t="s">
        <v>90</v>
      </c>
      <c r="D56" s="323"/>
      <c r="E56" s="323" t="s">
        <v>91</v>
      </c>
      <c r="F56" s="323" t="s">
        <v>742</v>
      </c>
      <c r="G56" s="323"/>
      <c r="H56" s="323"/>
      <c r="I56" s="323" t="s">
        <v>804</v>
      </c>
      <c r="J56" s="324">
        <v>1</v>
      </c>
      <c r="K56" s="323"/>
      <c r="L56" s="323"/>
      <c r="M56" s="323" t="s">
        <v>1596</v>
      </c>
      <c r="N56" s="323" t="s">
        <v>1703</v>
      </c>
      <c r="O56" s="323"/>
      <c r="P56" s="323"/>
    </row>
    <row r="57" spans="1:16" ht="30">
      <c r="A57" s="323" t="s">
        <v>1704</v>
      </c>
      <c r="B57" s="323" t="s">
        <v>1595</v>
      </c>
      <c r="C57" s="323" t="s">
        <v>94</v>
      </c>
      <c r="D57" s="323"/>
      <c r="E57" s="323" t="s">
        <v>95</v>
      </c>
      <c r="F57" s="323" t="s">
        <v>799</v>
      </c>
      <c r="G57" s="323"/>
      <c r="H57" s="323"/>
      <c r="I57" s="323" t="s">
        <v>792</v>
      </c>
      <c r="J57" s="324">
        <v>0</v>
      </c>
      <c r="K57" s="323"/>
      <c r="L57" s="323"/>
      <c r="M57" s="323" t="s">
        <v>1604</v>
      </c>
      <c r="N57" s="323" t="s">
        <v>1705</v>
      </c>
      <c r="O57" s="323"/>
      <c r="P57" s="323"/>
    </row>
    <row r="58" spans="1:16" ht="30">
      <c r="A58" s="323" t="s">
        <v>1706</v>
      </c>
      <c r="B58" s="323" t="s">
        <v>1599</v>
      </c>
      <c r="C58" s="323" t="s">
        <v>96</v>
      </c>
      <c r="D58" s="323"/>
      <c r="E58" s="323"/>
      <c r="F58" s="323" t="s">
        <v>799</v>
      </c>
      <c r="G58" s="323"/>
      <c r="H58" s="323"/>
      <c r="I58" s="323" t="s">
        <v>804</v>
      </c>
      <c r="J58" s="324">
        <v>1</v>
      </c>
      <c r="K58" s="323"/>
      <c r="L58" s="323"/>
      <c r="M58" s="323" t="s">
        <v>1596</v>
      </c>
      <c r="N58" s="323" t="s">
        <v>1707</v>
      </c>
      <c r="O58" s="323"/>
      <c r="P58" s="323"/>
    </row>
    <row r="59" spans="1:16" ht="30">
      <c r="A59" s="323" t="s">
        <v>1708</v>
      </c>
      <c r="B59" s="323" t="s">
        <v>1595</v>
      </c>
      <c r="C59" s="323" t="s">
        <v>97</v>
      </c>
      <c r="D59" s="323"/>
      <c r="E59" s="323" t="s">
        <v>98</v>
      </c>
      <c r="F59" s="323" t="s">
        <v>742</v>
      </c>
      <c r="G59" s="323"/>
      <c r="H59" s="323"/>
      <c r="I59" s="323" t="s">
        <v>804</v>
      </c>
      <c r="J59" s="324">
        <v>1</v>
      </c>
      <c r="K59" s="323"/>
      <c r="L59" s="323"/>
      <c r="M59" s="323" t="s">
        <v>1596</v>
      </c>
      <c r="N59" s="323" t="s">
        <v>1709</v>
      </c>
      <c r="O59" s="323"/>
      <c r="P59" s="323"/>
    </row>
    <row r="60" spans="1:16" ht="30">
      <c r="A60" s="323" t="s">
        <v>1710</v>
      </c>
      <c r="B60" s="323" t="s">
        <v>1599</v>
      </c>
      <c r="C60" s="323" t="s">
        <v>99</v>
      </c>
      <c r="D60" s="323"/>
      <c r="E60" s="323"/>
      <c r="F60" s="323" t="s">
        <v>799</v>
      </c>
      <c r="G60" s="323"/>
      <c r="H60" s="323"/>
      <c r="I60" s="323" t="s">
        <v>804</v>
      </c>
      <c r="J60" s="324">
        <v>1</v>
      </c>
      <c r="K60" s="323"/>
      <c r="L60" s="323"/>
      <c r="M60" s="323" t="s">
        <v>1596</v>
      </c>
      <c r="N60" s="323" t="s">
        <v>1711</v>
      </c>
      <c r="O60" s="323"/>
      <c r="P60" s="323"/>
    </row>
    <row r="61" spans="1:16" ht="30">
      <c r="A61" s="323" t="s">
        <v>1712</v>
      </c>
      <c r="B61" s="323" t="s">
        <v>1599</v>
      </c>
      <c r="C61" s="323" t="s">
        <v>101</v>
      </c>
      <c r="D61" s="323"/>
      <c r="E61" s="323"/>
      <c r="F61" s="323" t="s">
        <v>742</v>
      </c>
      <c r="G61" s="323"/>
      <c r="H61" s="323"/>
      <c r="I61" s="323" t="s">
        <v>804</v>
      </c>
      <c r="J61" s="324">
        <v>1</v>
      </c>
      <c r="K61" s="323"/>
      <c r="L61" s="323"/>
      <c r="M61" s="323" t="s">
        <v>1596</v>
      </c>
      <c r="N61" s="323" t="s">
        <v>1713</v>
      </c>
      <c r="O61" s="323"/>
      <c r="P61" s="323"/>
    </row>
    <row r="62" spans="1:16" ht="30">
      <c r="A62" s="323" t="s">
        <v>1714</v>
      </c>
      <c r="B62" s="323" t="s">
        <v>1595</v>
      </c>
      <c r="C62" s="323" t="s">
        <v>103</v>
      </c>
      <c r="D62" s="323"/>
      <c r="E62" s="323" t="s">
        <v>104</v>
      </c>
      <c r="F62" s="323" t="s">
        <v>742</v>
      </c>
      <c r="G62" s="323"/>
      <c r="H62" s="323"/>
      <c r="I62" s="323" t="s">
        <v>792</v>
      </c>
      <c r="J62" s="324">
        <v>0</v>
      </c>
      <c r="K62" s="323"/>
      <c r="L62" s="323"/>
      <c r="M62" s="323" t="s">
        <v>1604</v>
      </c>
      <c r="N62" s="323" t="s">
        <v>1715</v>
      </c>
      <c r="O62" s="323"/>
      <c r="P62" s="323"/>
    </row>
    <row r="63" spans="1:16" ht="30">
      <c r="A63" s="323" t="s">
        <v>1716</v>
      </c>
      <c r="B63" s="323" t="s">
        <v>1599</v>
      </c>
      <c r="C63" s="323" t="s">
        <v>105</v>
      </c>
      <c r="D63" s="323"/>
      <c r="E63" s="323"/>
      <c r="F63" s="323" t="s">
        <v>742</v>
      </c>
      <c r="G63" s="323"/>
      <c r="H63" s="323"/>
      <c r="I63" s="323" t="s">
        <v>804</v>
      </c>
      <c r="J63" s="324">
        <v>1</v>
      </c>
      <c r="K63" s="323"/>
      <c r="L63" s="323"/>
      <c r="M63" s="323" t="s">
        <v>1596</v>
      </c>
      <c r="N63" s="323" t="s">
        <v>1717</v>
      </c>
      <c r="O63" s="323"/>
      <c r="P63" s="323"/>
    </row>
    <row r="64" spans="1:16" ht="30">
      <c r="A64" s="323" t="s">
        <v>1718</v>
      </c>
      <c r="B64" s="323" t="s">
        <v>1595</v>
      </c>
      <c r="C64" s="323" t="s">
        <v>107</v>
      </c>
      <c r="D64" s="323"/>
      <c r="E64" s="323" t="s">
        <v>108</v>
      </c>
      <c r="F64" s="323" t="s">
        <v>742</v>
      </c>
      <c r="G64" s="323"/>
      <c r="H64" s="323"/>
      <c r="I64" s="323" t="s">
        <v>792</v>
      </c>
      <c r="J64" s="324">
        <v>0</v>
      </c>
      <c r="K64" s="323"/>
      <c r="L64" s="323"/>
      <c r="M64" s="323" t="s">
        <v>1604</v>
      </c>
      <c r="N64" s="323" t="s">
        <v>1719</v>
      </c>
      <c r="O64" s="323"/>
      <c r="P64" s="323"/>
    </row>
    <row r="65" spans="1:16" ht="30">
      <c r="A65" s="323" t="s">
        <v>1720</v>
      </c>
      <c r="B65" s="323" t="s">
        <v>1595</v>
      </c>
      <c r="C65" s="323" t="s">
        <v>109</v>
      </c>
      <c r="D65" s="323"/>
      <c r="E65" s="323" t="s">
        <v>66</v>
      </c>
      <c r="F65" s="323" t="s">
        <v>799</v>
      </c>
      <c r="G65" s="323"/>
      <c r="H65" s="323"/>
      <c r="I65" s="323" t="s">
        <v>792</v>
      </c>
      <c r="J65" s="324">
        <v>0</v>
      </c>
      <c r="K65" s="323"/>
      <c r="L65" s="323"/>
      <c r="M65" s="323" t="s">
        <v>1604</v>
      </c>
      <c r="N65" s="323" t="s">
        <v>1721</v>
      </c>
      <c r="O65" s="323"/>
      <c r="P65" s="323"/>
    </row>
    <row r="66" spans="1:16" ht="30">
      <c r="A66" s="323" t="s">
        <v>1722</v>
      </c>
      <c r="B66" s="323" t="s">
        <v>1595</v>
      </c>
      <c r="C66" s="323" t="s">
        <v>110</v>
      </c>
      <c r="D66" s="323"/>
      <c r="E66" s="323" t="s">
        <v>111</v>
      </c>
      <c r="F66" s="323" t="s">
        <v>742</v>
      </c>
      <c r="G66" s="323"/>
      <c r="H66" s="323"/>
      <c r="I66" s="323" t="s">
        <v>792</v>
      </c>
      <c r="J66" s="324">
        <v>0</v>
      </c>
      <c r="K66" s="323"/>
      <c r="L66" s="323"/>
      <c r="M66" s="323" t="s">
        <v>1604</v>
      </c>
      <c r="N66" s="323" t="s">
        <v>1723</v>
      </c>
      <c r="O66" s="323"/>
      <c r="P66" s="323"/>
    </row>
    <row r="67" spans="1:16" ht="30">
      <c r="A67" s="323" t="s">
        <v>1724</v>
      </c>
      <c r="B67" s="323" t="s">
        <v>1599</v>
      </c>
      <c r="C67" s="323" t="s">
        <v>112</v>
      </c>
      <c r="D67" s="323"/>
      <c r="E67" s="323"/>
      <c r="F67" s="323" t="s">
        <v>742</v>
      </c>
      <c r="G67" s="323"/>
      <c r="H67" s="323"/>
      <c r="I67" s="323" t="s">
        <v>792</v>
      </c>
      <c r="J67" s="324">
        <v>0</v>
      </c>
      <c r="K67" s="323"/>
      <c r="L67" s="323"/>
      <c r="M67" s="323" t="s">
        <v>1725</v>
      </c>
      <c r="N67" s="323" t="s">
        <v>1726</v>
      </c>
      <c r="O67" s="323"/>
      <c r="P67" s="323"/>
    </row>
    <row r="68" spans="1:16">
      <c r="A68" s="323" t="s">
        <v>1727</v>
      </c>
      <c r="B68" s="323" t="s">
        <v>1728</v>
      </c>
      <c r="C68" s="323" t="s">
        <v>8</v>
      </c>
      <c r="D68" s="323"/>
      <c r="E68" s="323" t="s">
        <v>1729</v>
      </c>
      <c r="F68" s="323" t="s">
        <v>742</v>
      </c>
      <c r="G68" s="323"/>
      <c r="H68" s="323"/>
      <c r="I68" s="323" t="s">
        <v>804</v>
      </c>
      <c r="J68" s="324">
        <v>1</v>
      </c>
      <c r="K68" s="323"/>
      <c r="L68" s="323"/>
      <c r="M68" s="323" t="s">
        <v>1596</v>
      </c>
      <c r="N68" s="323" t="s">
        <v>1730</v>
      </c>
      <c r="O68" s="323"/>
      <c r="P68" s="323"/>
    </row>
    <row r="69" spans="1:16" ht="30">
      <c r="A69" s="323" t="s">
        <v>1731</v>
      </c>
      <c r="B69" s="323" t="s">
        <v>1728</v>
      </c>
      <c r="C69" s="323" t="s">
        <v>12</v>
      </c>
      <c r="D69" s="323"/>
      <c r="E69" s="323" t="s">
        <v>1732</v>
      </c>
      <c r="F69" s="323" t="s">
        <v>799</v>
      </c>
      <c r="G69" s="323"/>
      <c r="H69" s="323"/>
      <c r="I69" s="323" t="s">
        <v>804</v>
      </c>
      <c r="J69" s="324">
        <v>1</v>
      </c>
      <c r="K69" s="323"/>
      <c r="L69" s="323"/>
      <c r="M69" s="323" t="s">
        <v>1596</v>
      </c>
      <c r="N69" s="323" t="s">
        <v>1733</v>
      </c>
      <c r="O69" s="323"/>
      <c r="P69" s="323"/>
    </row>
    <row r="70" spans="1:16" ht="30">
      <c r="A70" s="323" t="s">
        <v>1734</v>
      </c>
      <c r="B70" s="323" t="s">
        <v>1728</v>
      </c>
      <c r="C70" s="323" t="s">
        <v>16</v>
      </c>
      <c r="D70" s="323"/>
      <c r="E70" s="323" t="s">
        <v>1735</v>
      </c>
      <c r="F70" s="323" t="s">
        <v>799</v>
      </c>
      <c r="G70" s="323"/>
      <c r="H70" s="323"/>
      <c r="I70" s="323" t="s">
        <v>804</v>
      </c>
      <c r="J70" s="324">
        <v>1</v>
      </c>
      <c r="K70" s="323"/>
      <c r="L70" s="323"/>
      <c r="M70" s="323" t="s">
        <v>1596</v>
      </c>
      <c r="N70" s="323" t="s">
        <v>1736</v>
      </c>
      <c r="O70" s="323"/>
      <c r="P70" s="323"/>
    </row>
    <row r="71" spans="1:16" ht="30">
      <c r="A71" s="323" t="s">
        <v>1737</v>
      </c>
      <c r="B71" s="323" t="s">
        <v>1728</v>
      </c>
      <c r="C71" s="323" t="s">
        <v>23</v>
      </c>
      <c r="D71" s="323"/>
      <c r="E71" s="323" t="s">
        <v>1738</v>
      </c>
      <c r="F71" s="323" t="s">
        <v>799</v>
      </c>
      <c r="G71" s="323"/>
      <c r="H71" s="323"/>
      <c r="I71" s="323" t="s">
        <v>804</v>
      </c>
      <c r="J71" s="324">
        <v>1</v>
      </c>
      <c r="K71" s="323"/>
      <c r="L71" s="323"/>
      <c r="M71" s="323" t="s">
        <v>1596</v>
      </c>
      <c r="N71" s="323" t="s">
        <v>1739</v>
      </c>
      <c r="O71" s="323"/>
      <c r="P71" s="323"/>
    </row>
    <row r="72" spans="1:16">
      <c r="A72" s="323" t="s">
        <v>1740</v>
      </c>
      <c r="B72" s="323" t="s">
        <v>1728</v>
      </c>
      <c r="C72" s="323" t="s">
        <v>27</v>
      </c>
      <c r="D72" s="323"/>
      <c r="E72" s="323" t="s">
        <v>1741</v>
      </c>
      <c r="F72" s="323" t="s">
        <v>742</v>
      </c>
      <c r="G72" s="323"/>
      <c r="H72" s="323"/>
      <c r="I72" s="323" t="s">
        <v>804</v>
      </c>
      <c r="J72" s="324">
        <v>1</v>
      </c>
      <c r="K72" s="323"/>
      <c r="L72" s="323"/>
      <c r="M72" s="323" t="s">
        <v>1596</v>
      </c>
      <c r="N72" s="323" t="s">
        <v>1742</v>
      </c>
      <c r="O72" s="323"/>
      <c r="P72" s="323"/>
    </row>
    <row r="73" spans="1:16" ht="30">
      <c r="A73" s="323" t="s">
        <v>1743</v>
      </c>
      <c r="B73" s="323" t="s">
        <v>1728</v>
      </c>
      <c r="C73" s="323" t="s">
        <v>31</v>
      </c>
      <c r="D73" s="323"/>
      <c r="E73" s="323" t="s">
        <v>1744</v>
      </c>
      <c r="F73" s="323" t="s">
        <v>742</v>
      </c>
      <c r="G73" s="323"/>
      <c r="H73" s="323"/>
      <c r="I73" s="323" t="s">
        <v>804</v>
      </c>
      <c r="J73" s="324">
        <v>1</v>
      </c>
      <c r="K73" s="323"/>
      <c r="L73" s="323"/>
      <c r="M73" s="323" t="s">
        <v>1596</v>
      </c>
      <c r="N73" s="323" t="s">
        <v>1745</v>
      </c>
      <c r="O73" s="323"/>
      <c r="P73" s="323"/>
    </row>
    <row r="74" spans="1:16" ht="30">
      <c r="A74" s="323" t="s">
        <v>1746</v>
      </c>
      <c r="B74" s="323" t="s">
        <v>1728</v>
      </c>
      <c r="C74" s="323" t="s">
        <v>35</v>
      </c>
      <c r="D74" s="323"/>
      <c r="E74" s="323" t="s">
        <v>1747</v>
      </c>
      <c r="F74" s="323" t="s">
        <v>742</v>
      </c>
      <c r="G74" s="323"/>
      <c r="H74" s="323"/>
      <c r="I74" s="323" t="s">
        <v>804</v>
      </c>
      <c r="J74" s="324">
        <v>1</v>
      </c>
      <c r="K74" s="323"/>
      <c r="L74" s="323"/>
      <c r="M74" s="323" t="s">
        <v>1596</v>
      </c>
      <c r="N74" s="323" t="s">
        <v>1748</v>
      </c>
      <c r="O74" s="323"/>
      <c r="P74" s="323"/>
    </row>
    <row r="75" spans="1:16" ht="30">
      <c r="A75" s="323" t="s">
        <v>1749</v>
      </c>
      <c r="B75" s="323" t="s">
        <v>1728</v>
      </c>
      <c r="C75" s="323" t="s">
        <v>38</v>
      </c>
      <c r="D75" s="323"/>
      <c r="E75" s="323" t="s">
        <v>1750</v>
      </c>
      <c r="F75" s="323" t="s">
        <v>799</v>
      </c>
      <c r="G75" s="323"/>
      <c r="H75" s="323"/>
      <c r="I75" s="323" t="s">
        <v>804</v>
      </c>
      <c r="J75" s="324">
        <v>1</v>
      </c>
      <c r="K75" s="323"/>
      <c r="L75" s="323"/>
      <c r="M75" s="323" t="s">
        <v>1596</v>
      </c>
      <c r="N75" s="323" t="s">
        <v>1751</v>
      </c>
      <c r="O75" s="323"/>
      <c r="P75" s="323"/>
    </row>
    <row r="76" spans="1:16" ht="30">
      <c r="A76" s="323" t="s">
        <v>1752</v>
      </c>
      <c r="B76" s="323" t="s">
        <v>1728</v>
      </c>
      <c r="C76" s="323" t="s">
        <v>41</v>
      </c>
      <c r="D76" s="323"/>
      <c r="E76" s="323" t="s">
        <v>1753</v>
      </c>
      <c r="F76" s="323" t="s">
        <v>799</v>
      </c>
      <c r="G76" s="323"/>
      <c r="H76" s="323"/>
      <c r="I76" s="323" t="s">
        <v>792</v>
      </c>
      <c r="J76" s="324">
        <v>0</v>
      </c>
      <c r="K76" s="323"/>
      <c r="L76" s="323"/>
      <c r="M76" s="323" t="s">
        <v>1623</v>
      </c>
      <c r="N76" s="323" t="s">
        <v>1754</v>
      </c>
      <c r="O76" s="323"/>
      <c r="P76" s="323"/>
    </row>
    <row r="77" spans="1:16" ht="30">
      <c r="A77" s="323" t="s">
        <v>1755</v>
      </c>
      <c r="B77" s="323" t="s">
        <v>1728</v>
      </c>
      <c r="C77" s="323" t="s">
        <v>44</v>
      </c>
      <c r="D77" s="323"/>
      <c r="E77" s="323" t="s">
        <v>1756</v>
      </c>
      <c r="F77" s="323" t="s">
        <v>742</v>
      </c>
      <c r="G77" s="323"/>
      <c r="H77" s="323"/>
      <c r="I77" s="323" t="s">
        <v>804</v>
      </c>
      <c r="J77" s="324">
        <v>1</v>
      </c>
      <c r="K77" s="323"/>
      <c r="L77" s="323"/>
      <c r="M77" s="323" t="s">
        <v>1596</v>
      </c>
      <c r="N77" s="323" t="s">
        <v>1757</v>
      </c>
      <c r="O77" s="323"/>
      <c r="P77" s="323"/>
    </row>
    <row r="78" spans="1:16" ht="30">
      <c r="A78" s="323" t="s">
        <v>1758</v>
      </c>
      <c r="B78" s="323" t="s">
        <v>1728</v>
      </c>
      <c r="C78" s="323" t="s">
        <v>53</v>
      </c>
      <c r="D78" s="323"/>
      <c r="E78" s="323" t="s">
        <v>1759</v>
      </c>
      <c r="F78" s="323" t="s">
        <v>799</v>
      </c>
      <c r="G78" s="323"/>
      <c r="H78" s="323"/>
      <c r="I78" s="323" t="s">
        <v>804</v>
      </c>
      <c r="J78" s="324">
        <v>1</v>
      </c>
      <c r="K78" s="323"/>
      <c r="L78" s="323"/>
      <c r="M78" s="323" t="s">
        <v>1596</v>
      </c>
      <c r="N78" s="323" t="s">
        <v>1760</v>
      </c>
      <c r="O78" s="323"/>
      <c r="P78" s="323"/>
    </row>
    <row r="79" spans="1:16" ht="30">
      <c r="A79" s="323" t="s">
        <v>1761</v>
      </c>
      <c r="B79" s="323" t="s">
        <v>1728</v>
      </c>
      <c r="C79" s="323" t="s">
        <v>57</v>
      </c>
      <c r="D79" s="323"/>
      <c r="E79" s="323" t="s">
        <v>1762</v>
      </c>
      <c r="F79" s="323" t="s">
        <v>742</v>
      </c>
      <c r="G79" s="323"/>
      <c r="H79" s="323"/>
      <c r="I79" s="323" t="s">
        <v>804</v>
      </c>
      <c r="J79" s="324">
        <v>1</v>
      </c>
      <c r="K79" s="323"/>
      <c r="L79" s="323"/>
      <c r="M79" s="323" t="s">
        <v>1596</v>
      </c>
      <c r="N79" s="323" t="s">
        <v>1763</v>
      </c>
      <c r="O79" s="323"/>
      <c r="P79" s="323"/>
    </row>
    <row r="80" spans="1:16" ht="30">
      <c r="A80" s="323" t="s">
        <v>1764</v>
      </c>
      <c r="B80" s="323" t="s">
        <v>1728</v>
      </c>
      <c r="C80" s="323" t="s">
        <v>59</v>
      </c>
      <c r="D80" s="323"/>
      <c r="E80" s="323" t="s">
        <v>1765</v>
      </c>
      <c r="F80" s="323" t="s">
        <v>742</v>
      </c>
      <c r="G80" s="323"/>
      <c r="H80" s="323"/>
      <c r="I80" s="323" t="s">
        <v>792</v>
      </c>
      <c r="J80" s="324">
        <v>0</v>
      </c>
      <c r="K80" s="323"/>
      <c r="L80" s="323"/>
      <c r="M80" s="323" t="s">
        <v>1623</v>
      </c>
      <c r="N80" s="323" t="s">
        <v>1766</v>
      </c>
      <c r="O80" s="323"/>
      <c r="P80" s="323"/>
    </row>
    <row r="81" spans="1:16" ht="30">
      <c r="A81" s="323" t="s">
        <v>1767</v>
      </c>
      <c r="B81" s="323" t="s">
        <v>1728</v>
      </c>
      <c r="C81" s="323" t="s">
        <v>63</v>
      </c>
      <c r="D81" s="323"/>
      <c r="E81" s="323" t="s">
        <v>1768</v>
      </c>
      <c r="F81" s="323" t="s">
        <v>742</v>
      </c>
      <c r="G81" s="323"/>
      <c r="H81" s="323"/>
      <c r="I81" s="323" t="s">
        <v>792</v>
      </c>
      <c r="J81" s="324">
        <v>0</v>
      </c>
      <c r="K81" s="323"/>
      <c r="L81" s="323"/>
      <c r="M81" s="323" t="s">
        <v>1604</v>
      </c>
      <c r="N81" s="323" t="s">
        <v>1769</v>
      </c>
      <c r="O81" s="323"/>
      <c r="P81" s="323"/>
    </row>
    <row r="82" spans="1:16" ht="30">
      <c r="A82" s="323" t="s">
        <v>1770</v>
      </c>
      <c r="B82" s="323" t="s">
        <v>1728</v>
      </c>
      <c r="C82" s="323" t="s">
        <v>72</v>
      </c>
      <c r="D82" s="323"/>
      <c r="E82" s="323" t="s">
        <v>1771</v>
      </c>
      <c r="F82" s="323" t="s">
        <v>742</v>
      </c>
      <c r="G82" s="323"/>
      <c r="H82" s="323"/>
      <c r="I82" s="323" t="s">
        <v>792</v>
      </c>
      <c r="J82" s="324">
        <v>0</v>
      </c>
      <c r="K82" s="323"/>
      <c r="L82" s="323"/>
      <c r="M82" s="323" t="s">
        <v>1604</v>
      </c>
      <c r="N82" s="323" t="s">
        <v>1772</v>
      </c>
      <c r="O82" s="323"/>
      <c r="P82" s="323"/>
    </row>
    <row r="83" spans="1:16" ht="30">
      <c r="A83" s="323" t="s">
        <v>1773</v>
      </c>
      <c r="B83" s="323" t="s">
        <v>1728</v>
      </c>
      <c r="C83" s="323" t="s">
        <v>1682</v>
      </c>
      <c r="D83" s="323"/>
      <c r="E83" s="323" t="s">
        <v>1774</v>
      </c>
      <c r="F83" s="323" t="s">
        <v>799</v>
      </c>
      <c r="G83" s="323"/>
      <c r="H83" s="323"/>
      <c r="I83" s="323" t="s">
        <v>792</v>
      </c>
      <c r="J83" s="324">
        <v>0</v>
      </c>
      <c r="K83" s="323"/>
      <c r="L83" s="323"/>
      <c r="M83" s="323" t="s">
        <v>1604</v>
      </c>
      <c r="N83" s="323" t="s">
        <v>1775</v>
      </c>
      <c r="O83" s="323"/>
      <c r="P83" s="323"/>
    </row>
    <row r="84" spans="1:16" ht="30">
      <c r="A84" s="323" t="s">
        <v>1776</v>
      </c>
      <c r="B84" s="323" t="s">
        <v>1728</v>
      </c>
      <c r="C84" s="323" t="s">
        <v>85</v>
      </c>
      <c r="D84" s="323"/>
      <c r="E84" s="323" t="s">
        <v>1777</v>
      </c>
      <c r="F84" s="323" t="s">
        <v>799</v>
      </c>
      <c r="G84" s="323"/>
      <c r="H84" s="323"/>
      <c r="I84" s="323" t="s">
        <v>792</v>
      </c>
      <c r="J84" s="324">
        <v>0</v>
      </c>
      <c r="K84" s="323"/>
      <c r="L84" s="323"/>
      <c r="M84" s="323" t="s">
        <v>1623</v>
      </c>
      <c r="N84" s="323" t="s">
        <v>1778</v>
      </c>
      <c r="O84" s="323"/>
      <c r="P84" s="323"/>
    </row>
    <row r="85" spans="1:16" ht="30">
      <c r="A85" s="323" t="s">
        <v>1779</v>
      </c>
      <c r="B85" s="323" t="s">
        <v>1728</v>
      </c>
      <c r="C85" s="323" t="s">
        <v>89</v>
      </c>
      <c r="D85" s="323"/>
      <c r="E85" s="323" t="s">
        <v>1780</v>
      </c>
      <c r="F85" s="323" t="s">
        <v>742</v>
      </c>
      <c r="G85" s="323"/>
      <c r="H85" s="323"/>
      <c r="I85" s="323" t="s">
        <v>792</v>
      </c>
      <c r="J85" s="324">
        <v>0</v>
      </c>
      <c r="K85" s="323"/>
      <c r="L85" s="323"/>
      <c r="M85" s="323" t="s">
        <v>1781</v>
      </c>
      <c r="N85" s="323" t="s">
        <v>1782</v>
      </c>
      <c r="O85" s="323"/>
      <c r="P85" s="323"/>
    </row>
    <row r="86" spans="1:16" ht="30">
      <c r="A86" s="323" t="s">
        <v>1783</v>
      </c>
      <c r="B86" s="323" t="s">
        <v>1728</v>
      </c>
      <c r="C86" s="323" t="s">
        <v>91</v>
      </c>
      <c r="D86" s="323"/>
      <c r="E86" s="323" t="s">
        <v>1784</v>
      </c>
      <c r="F86" s="323" t="s">
        <v>742</v>
      </c>
      <c r="G86" s="323"/>
      <c r="H86" s="323"/>
      <c r="I86" s="323" t="s">
        <v>804</v>
      </c>
      <c r="J86" s="324">
        <v>1</v>
      </c>
      <c r="K86" s="323"/>
      <c r="L86" s="323"/>
      <c r="M86" s="323" t="s">
        <v>1596</v>
      </c>
      <c r="N86" s="323" t="s">
        <v>1785</v>
      </c>
      <c r="O86" s="323"/>
      <c r="P86" s="323"/>
    </row>
    <row r="87" spans="1:16" ht="30">
      <c r="A87" s="323" t="s">
        <v>1786</v>
      </c>
      <c r="B87" s="323" t="s">
        <v>1728</v>
      </c>
      <c r="C87" s="323" t="s">
        <v>95</v>
      </c>
      <c r="D87" s="323"/>
      <c r="E87" s="323" t="s">
        <v>1787</v>
      </c>
      <c r="F87" s="323" t="s">
        <v>799</v>
      </c>
      <c r="G87" s="323"/>
      <c r="H87" s="323"/>
      <c r="I87" s="323" t="s">
        <v>792</v>
      </c>
      <c r="J87" s="324">
        <v>0</v>
      </c>
      <c r="K87" s="323"/>
      <c r="L87" s="323"/>
      <c r="M87" s="323" t="s">
        <v>1604</v>
      </c>
      <c r="N87" s="323" t="s">
        <v>1788</v>
      </c>
      <c r="O87" s="323"/>
      <c r="P87" s="323"/>
    </row>
    <row r="88" spans="1:16" ht="30">
      <c r="A88" s="323" t="s">
        <v>1789</v>
      </c>
      <c r="B88" s="323" t="s">
        <v>1728</v>
      </c>
      <c r="C88" s="323" t="s">
        <v>98</v>
      </c>
      <c r="D88" s="323"/>
      <c r="E88" s="323" t="s">
        <v>1790</v>
      </c>
      <c r="F88" s="323" t="s">
        <v>742</v>
      </c>
      <c r="G88" s="323"/>
      <c r="H88" s="323"/>
      <c r="I88" s="323" t="s">
        <v>792</v>
      </c>
      <c r="J88" s="324">
        <v>0</v>
      </c>
      <c r="K88" s="323"/>
      <c r="L88" s="323"/>
      <c r="M88" s="323" t="s">
        <v>1604</v>
      </c>
      <c r="N88" s="323" t="s">
        <v>1791</v>
      </c>
      <c r="O88" s="323"/>
      <c r="P88" s="323"/>
    </row>
    <row r="89" spans="1:16" ht="30">
      <c r="A89" s="323" t="s">
        <v>1792</v>
      </c>
      <c r="B89" s="323" t="s">
        <v>1728</v>
      </c>
      <c r="C89" s="323" t="s">
        <v>104</v>
      </c>
      <c r="D89" s="323"/>
      <c r="E89" s="323" t="s">
        <v>1793</v>
      </c>
      <c r="F89" s="323" t="s">
        <v>742</v>
      </c>
      <c r="G89" s="323"/>
      <c r="H89" s="323"/>
      <c r="I89" s="323" t="s">
        <v>792</v>
      </c>
      <c r="J89" s="324">
        <v>0</v>
      </c>
      <c r="K89" s="323"/>
      <c r="L89" s="323"/>
      <c r="M89" s="323" t="s">
        <v>1604</v>
      </c>
      <c r="N89" s="323" t="s">
        <v>1794</v>
      </c>
      <c r="O89" s="323"/>
      <c r="P89" s="323"/>
    </row>
    <row r="90" spans="1:16" ht="30">
      <c r="A90" s="323" t="s">
        <v>1795</v>
      </c>
      <c r="B90" s="323" t="s">
        <v>1728</v>
      </c>
      <c r="C90" s="323" t="s">
        <v>108</v>
      </c>
      <c r="D90" s="323"/>
      <c r="E90" s="323" t="s">
        <v>1796</v>
      </c>
      <c r="F90" s="323" t="s">
        <v>742</v>
      </c>
      <c r="G90" s="323"/>
      <c r="H90" s="323"/>
      <c r="I90" s="323" t="s">
        <v>792</v>
      </c>
      <c r="J90" s="324">
        <v>0</v>
      </c>
      <c r="K90" s="323"/>
      <c r="L90" s="323"/>
      <c r="M90" s="323" t="s">
        <v>1604</v>
      </c>
      <c r="N90" s="323" t="s">
        <v>1797</v>
      </c>
      <c r="O90" s="323"/>
      <c r="P90" s="323"/>
    </row>
    <row r="91" spans="1:16" ht="30">
      <c r="A91" s="323" t="s">
        <v>1798</v>
      </c>
      <c r="B91" s="323" t="s">
        <v>1728</v>
      </c>
      <c r="C91" s="323" t="s">
        <v>111</v>
      </c>
      <c r="D91" s="323"/>
      <c r="E91" s="323" t="s">
        <v>1799</v>
      </c>
      <c r="F91" s="323" t="s">
        <v>742</v>
      </c>
      <c r="G91" s="323"/>
      <c r="H91" s="323"/>
      <c r="I91" s="323" t="s">
        <v>792</v>
      </c>
      <c r="J91" s="324">
        <v>0</v>
      </c>
      <c r="K91" s="323"/>
      <c r="L91" s="323"/>
      <c r="M91" s="323" t="s">
        <v>1604</v>
      </c>
      <c r="N91" s="323" t="s">
        <v>1800</v>
      </c>
      <c r="O91" s="323"/>
      <c r="P91" s="323"/>
    </row>
    <row r="92" spans="1:16" ht="30">
      <c r="A92" s="323" t="s">
        <v>1801</v>
      </c>
      <c r="B92" s="323" t="s">
        <v>1802</v>
      </c>
      <c r="C92" s="323" t="s">
        <v>96</v>
      </c>
      <c r="D92" s="323"/>
      <c r="E92" s="323"/>
      <c r="F92" s="323" t="s">
        <v>799</v>
      </c>
      <c r="G92" s="323"/>
      <c r="H92" s="323"/>
      <c r="I92" s="323" t="s">
        <v>804</v>
      </c>
      <c r="J92" s="324">
        <v>1</v>
      </c>
      <c r="K92" s="323"/>
      <c r="L92" s="323"/>
      <c r="M92" s="323" t="s">
        <v>1596</v>
      </c>
      <c r="N92" s="323" t="s">
        <v>1707</v>
      </c>
      <c r="O92" s="323"/>
      <c r="P92" s="323"/>
    </row>
    <row r="93" spans="1:16" ht="30">
      <c r="A93" s="323" t="s">
        <v>1803</v>
      </c>
      <c r="B93" s="323" t="s">
        <v>1802</v>
      </c>
      <c r="C93" s="323" t="s">
        <v>99</v>
      </c>
      <c r="D93" s="323"/>
      <c r="E93" s="323"/>
      <c r="F93" s="323" t="s">
        <v>799</v>
      </c>
      <c r="G93" s="323"/>
      <c r="H93" s="323"/>
      <c r="I93" s="323" t="s">
        <v>804</v>
      </c>
      <c r="J93" s="324">
        <v>1</v>
      </c>
      <c r="K93" s="323"/>
      <c r="L93" s="323"/>
      <c r="M93" s="323" t="s">
        <v>1596</v>
      </c>
      <c r="N93" s="323" t="s">
        <v>1711</v>
      </c>
      <c r="O93" s="323"/>
      <c r="P93" s="323"/>
    </row>
    <row r="94" spans="1:16" ht="30">
      <c r="A94" s="323" t="s">
        <v>1804</v>
      </c>
      <c r="B94" s="323" t="s">
        <v>1805</v>
      </c>
      <c r="C94" s="323" t="s">
        <v>100</v>
      </c>
      <c r="D94" s="323"/>
      <c r="E94" s="323"/>
      <c r="F94" s="323" t="s">
        <v>742</v>
      </c>
      <c r="G94" s="323"/>
      <c r="H94" s="323"/>
      <c r="I94" s="323" t="s">
        <v>804</v>
      </c>
      <c r="J94" s="324">
        <v>1</v>
      </c>
      <c r="K94" s="323"/>
      <c r="L94" s="323"/>
      <c r="M94" s="323" t="s">
        <v>1596</v>
      </c>
      <c r="N94" s="323" t="s">
        <v>1806</v>
      </c>
      <c r="O94" s="323"/>
      <c r="P94" s="323"/>
    </row>
    <row r="95" spans="1:16" ht="30">
      <c r="A95" s="323" t="s">
        <v>1807</v>
      </c>
      <c r="B95" s="323" t="s">
        <v>1802</v>
      </c>
      <c r="C95" s="323" t="s">
        <v>101</v>
      </c>
      <c r="D95" s="323"/>
      <c r="E95" s="323"/>
      <c r="F95" s="323" t="s">
        <v>742</v>
      </c>
      <c r="G95" s="323"/>
      <c r="H95" s="323"/>
      <c r="I95" s="323" t="s">
        <v>804</v>
      </c>
      <c r="J95" s="324">
        <v>1</v>
      </c>
      <c r="K95" s="323"/>
      <c r="L95" s="323"/>
      <c r="M95" s="323" t="s">
        <v>1596</v>
      </c>
      <c r="N95" s="323" t="s">
        <v>1713</v>
      </c>
      <c r="O95" s="323"/>
      <c r="P95" s="323"/>
    </row>
    <row r="96" spans="1:16" ht="45">
      <c r="A96" s="323" t="s">
        <v>1808</v>
      </c>
      <c r="B96" s="323" t="s">
        <v>1805</v>
      </c>
      <c r="C96" s="323" t="s">
        <v>102</v>
      </c>
      <c r="D96" s="323"/>
      <c r="E96" s="323"/>
      <c r="F96" s="323" t="s">
        <v>742</v>
      </c>
      <c r="G96" s="323"/>
      <c r="H96" s="323"/>
      <c r="I96" s="323" t="s">
        <v>804</v>
      </c>
      <c r="J96" s="324">
        <v>1</v>
      </c>
      <c r="K96" s="323"/>
      <c r="L96" s="323"/>
      <c r="M96" s="323" t="s">
        <v>1596</v>
      </c>
      <c r="N96" s="323" t="s">
        <v>1809</v>
      </c>
      <c r="O96" s="323"/>
      <c r="P96" s="323"/>
    </row>
    <row r="97" spans="1:16" ht="30">
      <c r="A97" s="323" t="s">
        <v>1810</v>
      </c>
      <c r="B97" s="323" t="s">
        <v>1802</v>
      </c>
      <c r="C97" s="323" t="s">
        <v>105</v>
      </c>
      <c r="D97" s="323"/>
      <c r="E97" s="323"/>
      <c r="F97" s="323" t="s">
        <v>742</v>
      </c>
      <c r="G97" s="323"/>
      <c r="H97" s="323"/>
      <c r="I97" s="323" t="s">
        <v>804</v>
      </c>
      <c r="J97" s="324">
        <v>1</v>
      </c>
      <c r="K97" s="323"/>
      <c r="L97" s="323"/>
      <c r="M97" s="323" t="s">
        <v>1596</v>
      </c>
      <c r="N97" s="323" t="s">
        <v>1717</v>
      </c>
      <c r="O97" s="323"/>
      <c r="P97" s="323"/>
    </row>
    <row r="98" spans="1:16" ht="30">
      <c r="A98" s="323" t="s">
        <v>1811</v>
      </c>
      <c r="B98" s="323" t="s">
        <v>1805</v>
      </c>
      <c r="C98" s="323" t="s">
        <v>106</v>
      </c>
      <c r="D98" s="323"/>
      <c r="E98" s="323"/>
      <c r="F98" s="323" t="s">
        <v>742</v>
      </c>
      <c r="G98" s="323"/>
      <c r="H98" s="323"/>
      <c r="I98" s="323" t="s">
        <v>804</v>
      </c>
      <c r="J98" s="324">
        <v>1</v>
      </c>
      <c r="K98" s="323"/>
      <c r="L98" s="323"/>
      <c r="M98" s="323" t="s">
        <v>1596</v>
      </c>
      <c r="N98" s="323" t="s">
        <v>1812</v>
      </c>
      <c r="O98" s="323"/>
      <c r="P98" s="323"/>
    </row>
    <row r="99" spans="1:16" ht="30">
      <c r="A99" s="323" t="s">
        <v>1813</v>
      </c>
      <c r="B99" s="323" t="s">
        <v>1802</v>
      </c>
      <c r="C99" s="323" t="s">
        <v>112</v>
      </c>
      <c r="D99" s="323"/>
      <c r="E99" s="323"/>
      <c r="F99" s="323" t="s">
        <v>742</v>
      </c>
      <c r="G99" s="323"/>
      <c r="H99" s="323"/>
      <c r="I99" s="323" t="s">
        <v>792</v>
      </c>
      <c r="J99" s="324">
        <v>0</v>
      </c>
      <c r="K99" s="323"/>
      <c r="L99" s="323"/>
      <c r="M99" s="323" t="s">
        <v>1725</v>
      </c>
      <c r="N99" s="323" t="s">
        <v>1726</v>
      </c>
      <c r="O99" s="323"/>
      <c r="P99" s="323"/>
    </row>
    <row r="100" spans="1:16" ht="45">
      <c r="A100" s="323" t="s">
        <v>1814</v>
      </c>
      <c r="B100" s="323" t="s">
        <v>1805</v>
      </c>
      <c r="C100" s="323" t="s">
        <v>113</v>
      </c>
      <c r="D100" s="323"/>
      <c r="E100" s="323"/>
      <c r="F100" s="323" t="s">
        <v>742</v>
      </c>
      <c r="G100" s="323"/>
      <c r="H100" s="323"/>
      <c r="I100" s="323" t="s">
        <v>804</v>
      </c>
      <c r="J100" s="324">
        <v>1</v>
      </c>
      <c r="K100" s="323"/>
      <c r="L100" s="323"/>
      <c r="M100" s="323" t="s">
        <v>1596</v>
      </c>
      <c r="N100" s="323" t="s">
        <v>1815</v>
      </c>
      <c r="O100" s="323"/>
      <c r="P100" s="323"/>
    </row>
    <row r="101" spans="1:16" ht="30">
      <c r="A101" s="323" t="s">
        <v>1816</v>
      </c>
      <c r="B101" s="323" t="s">
        <v>1802</v>
      </c>
      <c r="C101" s="323" t="s">
        <v>114</v>
      </c>
      <c r="D101" s="323"/>
      <c r="E101" s="323"/>
      <c r="F101" s="323" t="s">
        <v>742</v>
      </c>
      <c r="G101" s="323"/>
      <c r="H101" s="323"/>
      <c r="I101" s="323" t="s">
        <v>792</v>
      </c>
      <c r="J101" s="324">
        <v>0</v>
      </c>
      <c r="K101" s="323"/>
      <c r="L101" s="323"/>
      <c r="M101" s="323" t="s">
        <v>1725</v>
      </c>
      <c r="N101" s="323" t="s">
        <v>1817</v>
      </c>
      <c r="O101" s="323"/>
      <c r="P101" s="323"/>
    </row>
    <row r="102" spans="1:16" ht="30">
      <c r="A102" s="323" t="s">
        <v>1818</v>
      </c>
      <c r="B102" s="323" t="s">
        <v>1805</v>
      </c>
      <c r="C102" s="323" t="s">
        <v>115</v>
      </c>
      <c r="D102" s="323"/>
      <c r="E102" s="323"/>
      <c r="F102" s="323" t="s">
        <v>799</v>
      </c>
      <c r="G102" s="323"/>
      <c r="H102" s="323"/>
      <c r="I102" s="323" t="s">
        <v>804</v>
      </c>
      <c r="J102" s="324">
        <v>1</v>
      </c>
      <c r="K102" s="323"/>
      <c r="L102" s="323"/>
      <c r="M102" s="323" t="s">
        <v>1596</v>
      </c>
      <c r="N102" s="323" t="s">
        <v>1819</v>
      </c>
      <c r="O102" s="323"/>
      <c r="P102" s="323"/>
    </row>
    <row r="103" spans="1:16">
      <c r="A103" s="323" t="s">
        <v>1820</v>
      </c>
      <c r="B103" s="323" t="s">
        <v>1802</v>
      </c>
      <c r="C103" s="323" t="s">
        <v>82</v>
      </c>
      <c r="D103" s="323"/>
      <c r="E103" s="323"/>
      <c r="F103" s="323" t="s">
        <v>742</v>
      </c>
      <c r="G103" s="323"/>
      <c r="H103" s="323"/>
      <c r="I103" s="323" t="s">
        <v>792</v>
      </c>
      <c r="J103" s="324">
        <v>0</v>
      </c>
      <c r="K103" s="323"/>
      <c r="L103" s="323"/>
      <c r="M103" s="323" t="s">
        <v>1604</v>
      </c>
      <c r="N103" s="323" t="s">
        <v>1821</v>
      </c>
      <c r="O103" s="323"/>
      <c r="P103" s="323"/>
    </row>
    <row r="104" spans="1:16" ht="45">
      <c r="A104" s="323" t="s">
        <v>1822</v>
      </c>
      <c r="B104" s="323" t="s">
        <v>1805</v>
      </c>
      <c r="C104" s="323" t="s">
        <v>116</v>
      </c>
      <c r="D104" s="323"/>
      <c r="E104" s="323"/>
      <c r="F104" s="323" t="s">
        <v>818</v>
      </c>
      <c r="G104" s="323"/>
      <c r="H104" s="323"/>
      <c r="I104" s="323" t="s">
        <v>804</v>
      </c>
      <c r="J104" s="324">
        <v>1</v>
      </c>
      <c r="K104" s="323"/>
      <c r="L104" s="323"/>
      <c r="M104" s="323" t="s">
        <v>1596</v>
      </c>
      <c r="N104" s="323" t="s">
        <v>1823</v>
      </c>
      <c r="O104" s="323"/>
      <c r="P104" s="323"/>
    </row>
    <row r="105" spans="1:16" ht="30">
      <c r="A105" s="323" t="s">
        <v>1824</v>
      </c>
      <c r="B105" s="323" t="s">
        <v>1802</v>
      </c>
      <c r="C105" s="323" t="s">
        <v>117</v>
      </c>
      <c r="D105" s="323"/>
      <c r="E105" s="323"/>
      <c r="F105" s="323" t="s">
        <v>742</v>
      </c>
      <c r="G105" s="323"/>
      <c r="H105" s="323"/>
      <c r="I105" s="323" t="s">
        <v>804</v>
      </c>
      <c r="J105" s="324">
        <v>1</v>
      </c>
      <c r="K105" s="323"/>
      <c r="L105" s="323"/>
      <c r="M105" s="323" t="s">
        <v>1596</v>
      </c>
      <c r="N105" s="323" t="s">
        <v>1825</v>
      </c>
      <c r="O105" s="323"/>
      <c r="P105" s="323"/>
    </row>
    <row r="106" spans="1:16" ht="45">
      <c r="A106" s="323" t="s">
        <v>1826</v>
      </c>
      <c r="B106" s="323" t="s">
        <v>1805</v>
      </c>
      <c r="C106" s="323" t="s">
        <v>118</v>
      </c>
      <c r="D106" s="323"/>
      <c r="E106" s="323"/>
      <c r="F106" s="323" t="s">
        <v>799</v>
      </c>
      <c r="G106" s="323"/>
      <c r="H106" s="323"/>
      <c r="I106" s="323" t="s">
        <v>804</v>
      </c>
      <c r="J106" s="324">
        <v>1</v>
      </c>
      <c r="K106" s="323"/>
      <c r="L106" s="323"/>
      <c r="M106" s="323" t="s">
        <v>1596</v>
      </c>
      <c r="N106" s="323" t="s">
        <v>1827</v>
      </c>
      <c r="O106" s="323"/>
      <c r="P106" s="323"/>
    </row>
    <row r="107" spans="1:16" ht="30">
      <c r="A107" s="323" t="s">
        <v>1828</v>
      </c>
      <c r="B107" s="323" t="s">
        <v>1802</v>
      </c>
      <c r="C107" s="323" t="s">
        <v>119</v>
      </c>
      <c r="D107" s="323"/>
      <c r="E107" s="323"/>
      <c r="F107" s="323" t="s">
        <v>742</v>
      </c>
      <c r="G107" s="323"/>
      <c r="H107" s="323"/>
      <c r="I107" s="323" t="s">
        <v>804</v>
      </c>
      <c r="J107" s="324">
        <v>1</v>
      </c>
      <c r="K107" s="323"/>
      <c r="L107" s="323"/>
      <c r="M107" s="323" t="s">
        <v>1596</v>
      </c>
      <c r="N107" s="323" t="s">
        <v>1829</v>
      </c>
      <c r="O107" s="323"/>
      <c r="P107" s="323"/>
    </row>
    <row r="108" spans="1:16" ht="30">
      <c r="A108" s="323" t="s">
        <v>1830</v>
      </c>
      <c r="B108" s="323" t="s">
        <v>1805</v>
      </c>
      <c r="C108" s="323" t="s">
        <v>120</v>
      </c>
      <c r="D108" s="323"/>
      <c r="E108" s="323"/>
      <c r="F108" s="323" t="s">
        <v>742</v>
      </c>
      <c r="G108" s="323"/>
      <c r="H108" s="323"/>
      <c r="I108" s="323" t="s">
        <v>804</v>
      </c>
      <c r="J108" s="324">
        <v>1</v>
      </c>
      <c r="K108" s="323"/>
      <c r="L108" s="323"/>
      <c r="M108" s="323" t="s">
        <v>1596</v>
      </c>
      <c r="N108" s="323" t="s">
        <v>1831</v>
      </c>
      <c r="O108" s="323"/>
      <c r="P108" s="323"/>
    </row>
    <row r="109" spans="1:16" ht="30">
      <c r="A109" s="323" t="s">
        <v>1832</v>
      </c>
      <c r="B109" s="323" t="s">
        <v>1802</v>
      </c>
      <c r="C109" s="323" t="s">
        <v>121</v>
      </c>
      <c r="D109" s="323"/>
      <c r="E109" s="323"/>
      <c r="F109" s="323" t="s">
        <v>742</v>
      </c>
      <c r="G109" s="323"/>
      <c r="H109" s="323"/>
      <c r="I109" s="323" t="s">
        <v>804</v>
      </c>
      <c r="J109" s="324">
        <v>1</v>
      </c>
      <c r="K109" s="323"/>
      <c r="L109" s="323"/>
      <c r="M109" s="323" t="s">
        <v>1596</v>
      </c>
      <c r="N109" s="323" t="s">
        <v>1833</v>
      </c>
      <c r="O109" s="323"/>
      <c r="P109" s="323"/>
    </row>
    <row r="110" spans="1:16" ht="30">
      <c r="A110" s="323" t="s">
        <v>1834</v>
      </c>
      <c r="B110" s="323" t="s">
        <v>1805</v>
      </c>
      <c r="C110" s="323" t="s">
        <v>122</v>
      </c>
      <c r="D110" s="323"/>
      <c r="E110" s="323"/>
      <c r="F110" s="323" t="s">
        <v>742</v>
      </c>
      <c r="G110" s="323"/>
      <c r="H110" s="323"/>
      <c r="I110" s="323" t="s">
        <v>804</v>
      </c>
      <c r="J110" s="324">
        <v>1</v>
      </c>
      <c r="K110" s="323"/>
      <c r="L110" s="323"/>
      <c r="M110" s="323" t="s">
        <v>1596</v>
      </c>
      <c r="N110" s="323" t="s">
        <v>1835</v>
      </c>
      <c r="O110" s="323"/>
      <c r="P110" s="323"/>
    </row>
    <row r="111" spans="1:16" ht="30">
      <c r="A111" s="323" t="s">
        <v>1836</v>
      </c>
      <c r="B111" s="323" t="s">
        <v>1802</v>
      </c>
      <c r="C111" s="323" t="s">
        <v>123</v>
      </c>
      <c r="D111" s="323"/>
      <c r="E111" s="323"/>
      <c r="F111" s="323" t="s">
        <v>742</v>
      </c>
      <c r="G111" s="323"/>
      <c r="H111" s="323"/>
      <c r="I111" s="323" t="s">
        <v>792</v>
      </c>
      <c r="J111" s="324">
        <v>0</v>
      </c>
      <c r="K111" s="323"/>
      <c r="L111" s="323"/>
      <c r="M111" s="323" t="s">
        <v>1604</v>
      </c>
      <c r="N111" s="323" t="s">
        <v>1837</v>
      </c>
      <c r="O111" s="323"/>
      <c r="P111" s="323"/>
    </row>
    <row r="112" spans="1:16" ht="30">
      <c r="A112" s="323" t="s">
        <v>1838</v>
      </c>
      <c r="B112" s="323" t="s">
        <v>1805</v>
      </c>
      <c r="C112" s="323" t="s">
        <v>124</v>
      </c>
      <c r="D112" s="323"/>
      <c r="E112" s="323"/>
      <c r="F112" s="323" t="s">
        <v>799</v>
      </c>
      <c r="G112" s="323"/>
      <c r="H112" s="323"/>
      <c r="I112" s="323" t="s">
        <v>792</v>
      </c>
      <c r="J112" s="324">
        <v>0</v>
      </c>
      <c r="K112" s="323"/>
      <c r="L112" s="323"/>
      <c r="M112" s="323" t="s">
        <v>1781</v>
      </c>
      <c r="N112" s="323" t="s">
        <v>1839</v>
      </c>
      <c r="O112" s="323"/>
      <c r="P112" s="323"/>
    </row>
    <row r="113" spans="1:16" ht="30">
      <c r="A113" s="323" t="s">
        <v>1840</v>
      </c>
      <c r="B113" s="323" t="s">
        <v>1802</v>
      </c>
      <c r="C113" s="323" t="s">
        <v>125</v>
      </c>
      <c r="D113" s="323"/>
      <c r="E113" s="323"/>
      <c r="F113" s="323" t="s">
        <v>742</v>
      </c>
      <c r="G113" s="323"/>
      <c r="H113" s="323"/>
      <c r="I113" s="323" t="s">
        <v>792</v>
      </c>
      <c r="J113" s="324">
        <v>0</v>
      </c>
      <c r="K113" s="323"/>
      <c r="L113" s="323"/>
      <c r="M113" s="323" t="s">
        <v>1604</v>
      </c>
      <c r="N113" s="323" t="s">
        <v>1841</v>
      </c>
      <c r="O113" s="323"/>
      <c r="P113" s="323"/>
    </row>
    <row r="114" spans="1:16" ht="30">
      <c r="A114" s="323" t="s">
        <v>1842</v>
      </c>
      <c r="B114" s="323" t="s">
        <v>1805</v>
      </c>
      <c r="C114" s="323" t="s">
        <v>126</v>
      </c>
      <c r="D114" s="323"/>
      <c r="E114" s="323"/>
      <c r="F114" s="323" t="s">
        <v>818</v>
      </c>
      <c r="G114" s="323"/>
      <c r="H114" s="323"/>
      <c r="I114" s="323" t="s">
        <v>792</v>
      </c>
      <c r="J114" s="324">
        <v>0</v>
      </c>
      <c r="K114" s="323"/>
      <c r="L114" s="323"/>
      <c r="M114" s="323" t="s">
        <v>1781</v>
      </c>
      <c r="N114" s="323" t="s">
        <v>1843</v>
      </c>
      <c r="O114" s="323"/>
      <c r="P114" s="323"/>
    </row>
    <row r="115" spans="1:16">
      <c r="A115" s="323" t="s">
        <v>1844</v>
      </c>
      <c r="B115" s="323" t="s">
        <v>1802</v>
      </c>
      <c r="C115" s="323" t="s">
        <v>127</v>
      </c>
      <c r="D115" s="323"/>
      <c r="E115" s="323"/>
      <c r="F115" s="323" t="s">
        <v>742</v>
      </c>
      <c r="G115" s="323"/>
      <c r="H115" s="323"/>
      <c r="I115" s="323" t="s">
        <v>792</v>
      </c>
      <c r="J115" s="324">
        <v>0</v>
      </c>
      <c r="K115" s="323"/>
      <c r="L115" s="323"/>
      <c r="M115" s="323" t="s">
        <v>1604</v>
      </c>
      <c r="N115" s="323" t="s">
        <v>1845</v>
      </c>
      <c r="O115" s="323"/>
      <c r="P115" s="323"/>
    </row>
    <row r="116" spans="1:16" ht="30">
      <c r="A116" s="323" t="s">
        <v>1846</v>
      </c>
      <c r="B116" s="323" t="s">
        <v>1805</v>
      </c>
      <c r="C116" s="323" t="s">
        <v>128</v>
      </c>
      <c r="D116" s="323"/>
      <c r="E116" s="323"/>
      <c r="F116" s="323" t="s">
        <v>799</v>
      </c>
      <c r="G116" s="323"/>
      <c r="H116" s="323"/>
      <c r="I116" s="323" t="s">
        <v>792</v>
      </c>
      <c r="J116" s="324">
        <v>0</v>
      </c>
      <c r="K116" s="323"/>
      <c r="L116" s="323"/>
      <c r="M116" s="323" t="s">
        <v>1781</v>
      </c>
      <c r="N116" s="323" t="s">
        <v>1847</v>
      </c>
      <c r="O116" s="323"/>
      <c r="P116" s="323"/>
    </row>
    <row r="117" spans="1:16" ht="30">
      <c r="A117" s="323" t="s">
        <v>1848</v>
      </c>
      <c r="B117" s="323" t="s">
        <v>1802</v>
      </c>
      <c r="C117" s="323" t="s">
        <v>129</v>
      </c>
      <c r="D117" s="323"/>
      <c r="E117" s="323"/>
      <c r="F117" s="323" t="s">
        <v>799</v>
      </c>
      <c r="G117" s="323"/>
      <c r="H117" s="323"/>
      <c r="I117" s="323" t="s">
        <v>792</v>
      </c>
      <c r="J117" s="324">
        <v>0</v>
      </c>
      <c r="K117" s="323"/>
      <c r="L117" s="323"/>
      <c r="M117" s="323" t="s">
        <v>1604</v>
      </c>
      <c r="N117" s="323" t="s">
        <v>1849</v>
      </c>
      <c r="O117" s="323"/>
      <c r="P117" s="323"/>
    </row>
    <row r="118" spans="1:16" ht="45">
      <c r="A118" s="323" t="s">
        <v>1850</v>
      </c>
      <c r="B118" s="323" t="s">
        <v>1805</v>
      </c>
      <c r="C118" s="323" t="s">
        <v>130</v>
      </c>
      <c r="D118" s="323"/>
      <c r="E118" s="323"/>
      <c r="F118" s="323" t="s">
        <v>742</v>
      </c>
      <c r="G118" s="323"/>
      <c r="H118" s="323"/>
      <c r="I118" s="323" t="s">
        <v>792</v>
      </c>
      <c r="J118" s="324">
        <v>0</v>
      </c>
      <c r="K118" s="323"/>
      <c r="L118" s="323"/>
      <c r="M118" s="323" t="s">
        <v>1781</v>
      </c>
      <c r="N118" s="323" t="s">
        <v>1851</v>
      </c>
      <c r="O118" s="323"/>
      <c r="P118" s="323"/>
    </row>
  </sheetData>
  <mergeCells count="2">
    <mergeCell ref="A1:P1"/>
    <mergeCell ref="A2:P2"/>
  </mergeCells>
  <conditionalFormatting sqref="I5:I118">
    <cfRule type="expression" dxfId="0" priority="1">
      <formula>I5="IMPLEMENTADO"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Catalogos!$A$5:$A$9</xm:f>
          </x14:formula1>
          <xm:sqref>I5:I118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0"/>
  <sheetViews>
    <sheetView showGridLines="0" workbookViewId="0"/>
  </sheetViews>
  <sheetFormatPr baseColWidth="10" defaultColWidth="9.140625" defaultRowHeight="15"/>
  <cols>
    <col min="1" max="1" width="13" customWidth="1"/>
    <col min="2" max="2" width="15" customWidth="1"/>
    <col min="3" max="3" width="14" customWidth="1"/>
    <col min="4" max="4" width="28" customWidth="1"/>
    <col min="5" max="5" width="25" customWidth="1"/>
    <col min="6" max="6" width="12" customWidth="1"/>
    <col min="7" max="7" width="14" customWidth="1"/>
    <col min="8" max="8" width="42" customWidth="1"/>
  </cols>
  <sheetData>
    <row r="1" spans="1:8" ht="33.950000000000003" customHeight="1">
      <c r="A1" s="428" t="s">
        <v>1852</v>
      </c>
      <c r="B1" s="428"/>
      <c r="C1" s="428"/>
      <c r="D1" s="428"/>
      <c r="E1" s="428"/>
      <c r="F1" s="428"/>
      <c r="G1" s="428"/>
      <c r="H1" s="428"/>
    </row>
    <row r="2" spans="1:8" ht="30" customHeight="1">
      <c r="A2" s="429" t="s">
        <v>1853</v>
      </c>
      <c r="B2" s="429"/>
      <c r="C2" s="429"/>
      <c r="D2" s="429"/>
      <c r="E2" s="429"/>
      <c r="F2" s="429"/>
      <c r="G2" s="429"/>
      <c r="H2" s="429"/>
    </row>
    <row r="4" spans="1:8" ht="32.1" customHeight="1">
      <c r="A4" s="322" t="s">
        <v>1854</v>
      </c>
      <c r="B4" s="322" t="s">
        <v>1855</v>
      </c>
      <c r="C4" s="322" t="s">
        <v>1856</v>
      </c>
      <c r="D4" s="322" t="s">
        <v>1522</v>
      </c>
      <c r="E4" s="322" t="s">
        <v>1857</v>
      </c>
      <c r="F4" s="322" t="s">
        <v>1858</v>
      </c>
      <c r="G4" s="322" t="s">
        <v>1586</v>
      </c>
      <c r="H4" s="322" t="s">
        <v>1859</v>
      </c>
    </row>
    <row r="5" spans="1:8" ht="30">
      <c r="A5" s="323" t="s">
        <v>1860</v>
      </c>
      <c r="B5" s="323" t="s">
        <v>1861</v>
      </c>
      <c r="C5" s="323" t="s">
        <v>1163</v>
      </c>
      <c r="D5" s="323" t="s">
        <v>150</v>
      </c>
      <c r="E5" s="323" t="s">
        <v>808</v>
      </c>
      <c r="F5" s="323" t="s">
        <v>1862</v>
      </c>
      <c r="G5" s="323" t="s">
        <v>844</v>
      </c>
      <c r="H5" s="323" t="s">
        <v>1863</v>
      </c>
    </row>
    <row r="6" spans="1:8" ht="30">
      <c r="A6" s="323" t="s">
        <v>1864</v>
      </c>
      <c r="B6" s="323" t="s">
        <v>1861</v>
      </c>
      <c r="C6" s="323" t="s">
        <v>1172</v>
      </c>
      <c r="D6" s="323" t="s">
        <v>154</v>
      </c>
      <c r="E6" s="323" t="s">
        <v>808</v>
      </c>
      <c r="F6" s="323" t="s">
        <v>1862</v>
      </c>
      <c r="G6" s="323" t="s">
        <v>844</v>
      </c>
      <c r="H6" s="323" t="s">
        <v>1863</v>
      </c>
    </row>
    <row r="7" spans="1:8" ht="30">
      <c r="A7" s="323" t="s">
        <v>1865</v>
      </c>
      <c r="B7" s="323" t="s">
        <v>1861</v>
      </c>
      <c r="C7" s="323" t="s">
        <v>1176</v>
      </c>
      <c r="D7" s="323" t="s">
        <v>158</v>
      </c>
      <c r="E7" s="323" t="s">
        <v>802</v>
      </c>
      <c r="F7" s="323" t="s">
        <v>1866</v>
      </c>
      <c r="G7" s="323" t="s">
        <v>844</v>
      </c>
      <c r="H7" s="323" t="s">
        <v>1863</v>
      </c>
    </row>
    <row r="8" spans="1:8" ht="30">
      <c r="A8" s="323" t="s">
        <v>1867</v>
      </c>
      <c r="B8" s="323" t="s">
        <v>1861</v>
      </c>
      <c r="C8" s="323" t="s">
        <v>1176</v>
      </c>
      <c r="D8" s="323" t="s">
        <v>158</v>
      </c>
      <c r="E8" s="323" t="s">
        <v>808</v>
      </c>
      <c r="F8" s="323" t="s">
        <v>1862</v>
      </c>
      <c r="G8" s="323" t="s">
        <v>844</v>
      </c>
      <c r="H8" s="323" t="s">
        <v>1863</v>
      </c>
    </row>
    <row r="9" spans="1:8" ht="30">
      <c r="A9" s="323" t="s">
        <v>1868</v>
      </c>
      <c r="B9" s="323" t="s">
        <v>1861</v>
      </c>
      <c r="C9" s="323" t="s">
        <v>1178</v>
      </c>
      <c r="D9" s="323" t="s">
        <v>161</v>
      </c>
      <c r="E9" s="323" t="s">
        <v>808</v>
      </c>
      <c r="F9" s="323" t="s">
        <v>1862</v>
      </c>
      <c r="G9" s="323" t="s">
        <v>844</v>
      </c>
      <c r="H9" s="323" t="s">
        <v>1863</v>
      </c>
    </row>
    <row r="10" spans="1:8" ht="30">
      <c r="A10" s="323" t="s">
        <v>1869</v>
      </c>
      <c r="B10" s="323" t="s">
        <v>1861</v>
      </c>
      <c r="C10" s="323" t="s">
        <v>1201</v>
      </c>
      <c r="D10" s="323" t="s">
        <v>191</v>
      </c>
      <c r="E10" s="323" t="s">
        <v>802</v>
      </c>
      <c r="F10" s="323" t="s">
        <v>1866</v>
      </c>
      <c r="G10" s="323" t="s">
        <v>844</v>
      </c>
      <c r="H10" s="323" t="s">
        <v>1863</v>
      </c>
    </row>
    <row r="11" spans="1:8" ht="30">
      <c r="A11" s="323" t="s">
        <v>1870</v>
      </c>
      <c r="B11" s="323" t="s">
        <v>1861</v>
      </c>
      <c r="C11" s="323" t="s">
        <v>1219</v>
      </c>
      <c r="D11" s="323" t="s">
        <v>243</v>
      </c>
      <c r="E11" s="323" t="s">
        <v>802</v>
      </c>
      <c r="F11" s="323" t="s">
        <v>1866</v>
      </c>
      <c r="G11" s="323" t="s">
        <v>844</v>
      </c>
      <c r="H11" s="323" t="s">
        <v>1863</v>
      </c>
    </row>
    <row r="12" spans="1:8" ht="30">
      <c r="A12" s="323" t="s">
        <v>1871</v>
      </c>
      <c r="B12" s="323" t="s">
        <v>1861</v>
      </c>
      <c r="C12" s="323" t="s">
        <v>1224</v>
      </c>
      <c r="D12" s="323" t="s">
        <v>254</v>
      </c>
      <c r="E12" s="323" t="s">
        <v>808</v>
      </c>
      <c r="F12" s="323" t="s">
        <v>1862</v>
      </c>
      <c r="G12" s="323" t="s">
        <v>844</v>
      </c>
      <c r="H12" s="323" t="s">
        <v>1863</v>
      </c>
    </row>
    <row r="13" spans="1:8" ht="30">
      <c r="A13" s="323" t="s">
        <v>1872</v>
      </c>
      <c r="B13" s="323" t="s">
        <v>1861</v>
      </c>
      <c r="C13" s="323" t="s">
        <v>1255</v>
      </c>
      <c r="D13" s="323"/>
      <c r="E13" s="323" t="s">
        <v>815</v>
      </c>
      <c r="F13" s="323" t="s">
        <v>1862</v>
      </c>
      <c r="G13" s="323" t="s">
        <v>844</v>
      </c>
      <c r="H13" s="323" t="s">
        <v>1863</v>
      </c>
    </row>
    <row r="14" spans="1:8" ht="30">
      <c r="A14" s="323" t="s">
        <v>1873</v>
      </c>
      <c r="B14" s="323" t="s">
        <v>1861</v>
      </c>
      <c r="C14" s="323" t="s">
        <v>1255</v>
      </c>
      <c r="D14" s="323"/>
      <c r="E14" s="323" t="s">
        <v>802</v>
      </c>
      <c r="F14" s="323" t="s">
        <v>1866</v>
      </c>
      <c r="G14" s="323" t="s">
        <v>844</v>
      </c>
      <c r="H14" s="323" t="s">
        <v>1863</v>
      </c>
    </row>
    <row r="15" spans="1:8" ht="30">
      <c r="A15" s="323" t="s">
        <v>1874</v>
      </c>
      <c r="B15" s="323" t="s">
        <v>1861</v>
      </c>
      <c r="C15" s="323" t="s">
        <v>1267</v>
      </c>
      <c r="D15" s="323" t="s">
        <v>347</v>
      </c>
      <c r="E15" s="323" t="s">
        <v>802</v>
      </c>
      <c r="F15" s="323" t="s">
        <v>1866</v>
      </c>
      <c r="G15" s="323" t="s">
        <v>844</v>
      </c>
      <c r="H15" s="323" t="s">
        <v>1863</v>
      </c>
    </row>
    <row r="16" spans="1:8" ht="30">
      <c r="A16" s="323" t="s">
        <v>1875</v>
      </c>
      <c r="B16" s="323" t="s">
        <v>1861</v>
      </c>
      <c r="C16" s="323" t="s">
        <v>1290</v>
      </c>
      <c r="D16" s="323" t="s">
        <v>396</v>
      </c>
      <c r="E16" s="323" t="s">
        <v>802</v>
      </c>
      <c r="F16" s="323" t="s">
        <v>1866</v>
      </c>
      <c r="G16" s="323" t="s">
        <v>844</v>
      </c>
      <c r="H16" s="323" t="s">
        <v>1863</v>
      </c>
    </row>
    <row r="17" spans="1:8" ht="30">
      <c r="A17" s="323" t="s">
        <v>1876</v>
      </c>
      <c r="B17" s="323" t="s">
        <v>1861</v>
      </c>
      <c r="C17" s="323" t="s">
        <v>1319</v>
      </c>
      <c r="D17" s="323" t="s">
        <v>466</v>
      </c>
      <c r="E17" s="323" t="s">
        <v>824</v>
      </c>
      <c r="F17" s="323" t="s">
        <v>1862</v>
      </c>
      <c r="G17" s="323" t="s">
        <v>844</v>
      </c>
      <c r="H17" s="323" t="s">
        <v>1863</v>
      </c>
    </row>
    <row r="18" spans="1:8" ht="30">
      <c r="A18" s="323" t="s">
        <v>1877</v>
      </c>
      <c r="B18" s="323" t="s">
        <v>1861</v>
      </c>
      <c r="C18" s="323" t="s">
        <v>1324</v>
      </c>
      <c r="D18" s="323" t="s">
        <v>474</v>
      </c>
      <c r="E18" s="323" t="s">
        <v>824</v>
      </c>
      <c r="F18" s="323" t="s">
        <v>1862</v>
      </c>
      <c r="G18" s="323" t="s">
        <v>844</v>
      </c>
      <c r="H18" s="323" t="s">
        <v>1863</v>
      </c>
    </row>
    <row r="19" spans="1:8" ht="30">
      <c r="A19" s="323" t="s">
        <v>1878</v>
      </c>
      <c r="B19" s="323" t="s">
        <v>1861</v>
      </c>
      <c r="C19" s="323" t="s">
        <v>1325</v>
      </c>
      <c r="D19" s="323" t="s">
        <v>913</v>
      </c>
      <c r="E19" s="323" t="s">
        <v>802</v>
      </c>
      <c r="F19" s="323" t="s">
        <v>1866</v>
      </c>
      <c r="G19" s="323" t="s">
        <v>844</v>
      </c>
      <c r="H19" s="323" t="s">
        <v>1863</v>
      </c>
    </row>
    <row r="20" spans="1:8" ht="30">
      <c r="A20" s="323" t="s">
        <v>1879</v>
      </c>
      <c r="B20" s="323" t="s">
        <v>1861</v>
      </c>
      <c r="C20" s="323" t="s">
        <v>1326</v>
      </c>
      <c r="D20" s="323" t="s">
        <v>482</v>
      </c>
      <c r="E20" s="323" t="s">
        <v>802</v>
      </c>
      <c r="F20" s="323" t="s">
        <v>1866</v>
      </c>
      <c r="G20" s="323" t="s">
        <v>844</v>
      </c>
      <c r="H20" s="323" t="s">
        <v>1863</v>
      </c>
    </row>
    <row r="21" spans="1:8" ht="30">
      <c r="A21" s="323" t="s">
        <v>1880</v>
      </c>
      <c r="B21" s="323" t="s">
        <v>1861</v>
      </c>
      <c r="C21" s="323" t="s">
        <v>1006</v>
      </c>
      <c r="D21" s="323" t="s">
        <v>65</v>
      </c>
      <c r="E21" s="323" t="s">
        <v>808</v>
      </c>
      <c r="F21" s="323" t="s">
        <v>1862</v>
      </c>
      <c r="G21" s="323" t="s">
        <v>844</v>
      </c>
      <c r="H21" s="323" t="s">
        <v>1863</v>
      </c>
    </row>
    <row r="22" spans="1:8" ht="30">
      <c r="A22" s="323" t="s">
        <v>1881</v>
      </c>
      <c r="B22" s="323" t="s">
        <v>1861</v>
      </c>
      <c r="C22" s="323" t="s">
        <v>1335</v>
      </c>
      <c r="D22" s="323" t="s">
        <v>68</v>
      </c>
      <c r="E22" s="323" t="s">
        <v>808</v>
      </c>
      <c r="F22" s="323" t="s">
        <v>1862</v>
      </c>
      <c r="G22" s="323" t="s">
        <v>844</v>
      </c>
      <c r="H22" s="323" t="s">
        <v>1863</v>
      </c>
    </row>
    <row r="23" spans="1:8" ht="30">
      <c r="A23" s="323" t="s">
        <v>1882</v>
      </c>
      <c r="B23" s="323" t="s">
        <v>1861</v>
      </c>
      <c r="C23" s="323" t="s">
        <v>1342</v>
      </c>
      <c r="D23" s="323" t="s">
        <v>503</v>
      </c>
      <c r="E23" s="323" t="s">
        <v>808</v>
      </c>
      <c r="F23" s="323" t="s">
        <v>1862</v>
      </c>
      <c r="G23" s="323" t="s">
        <v>844</v>
      </c>
      <c r="H23" s="323" t="s">
        <v>1863</v>
      </c>
    </row>
    <row r="24" spans="1:8" ht="30">
      <c r="A24" s="323" t="s">
        <v>1883</v>
      </c>
      <c r="B24" s="323" t="s">
        <v>1861</v>
      </c>
      <c r="C24" s="323" t="s">
        <v>1347</v>
      </c>
      <c r="D24" s="323" t="s">
        <v>509</v>
      </c>
      <c r="E24" s="323" t="s">
        <v>802</v>
      </c>
      <c r="F24" s="323" t="s">
        <v>1866</v>
      </c>
      <c r="G24" s="323" t="s">
        <v>844</v>
      </c>
      <c r="H24" s="323" t="s">
        <v>1863</v>
      </c>
    </row>
    <row r="25" spans="1:8" ht="30">
      <c r="A25" s="323" t="s">
        <v>1884</v>
      </c>
      <c r="B25" s="323" t="s">
        <v>1861</v>
      </c>
      <c r="C25" s="323" t="s">
        <v>1049</v>
      </c>
      <c r="D25" s="323" t="s">
        <v>512</v>
      </c>
      <c r="E25" s="323" t="s">
        <v>808</v>
      </c>
      <c r="F25" s="323" t="s">
        <v>1862</v>
      </c>
      <c r="G25" s="323" t="s">
        <v>844</v>
      </c>
      <c r="H25" s="323" t="s">
        <v>1863</v>
      </c>
    </row>
    <row r="26" spans="1:8" ht="30">
      <c r="A26" s="323" t="s">
        <v>1885</v>
      </c>
      <c r="B26" s="323" t="s">
        <v>1861</v>
      </c>
      <c r="C26" s="323" t="s">
        <v>1349</v>
      </c>
      <c r="D26" s="323" t="s">
        <v>517</v>
      </c>
      <c r="E26" s="323" t="s">
        <v>802</v>
      </c>
      <c r="F26" s="323" t="s">
        <v>1866</v>
      </c>
      <c r="G26" s="323" t="s">
        <v>844</v>
      </c>
      <c r="H26" s="323" t="s">
        <v>1863</v>
      </c>
    </row>
    <row r="27" spans="1:8" ht="30">
      <c r="A27" s="323" t="s">
        <v>1886</v>
      </c>
      <c r="B27" s="323" t="s">
        <v>1861</v>
      </c>
      <c r="C27" s="323" t="s">
        <v>1349</v>
      </c>
      <c r="D27" s="323" t="s">
        <v>517</v>
      </c>
      <c r="E27" s="323" t="s">
        <v>808</v>
      </c>
      <c r="F27" s="323" t="s">
        <v>1862</v>
      </c>
      <c r="G27" s="323" t="s">
        <v>844</v>
      </c>
      <c r="H27" s="323" t="s">
        <v>1863</v>
      </c>
    </row>
    <row r="28" spans="1:8" ht="30">
      <c r="A28" s="323" t="s">
        <v>1887</v>
      </c>
      <c r="B28" s="323" t="s">
        <v>1861</v>
      </c>
      <c r="C28" s="323" t="s">
        <v>1350</v>
      </c>
      <c r="D28" s="323" t="s">
        <v>522</v>
      </c>
      <c r="E28" s="323" t="s">
        <v>808</v>
      </c>
      <c r="F28" s="323" t="s">
        <v>1862</v>
      </c>
      <c r="G28" s="323" t="s">
        <v>844</v>
      </c>
      <c r="H28" s="323" t="s">
        <v>1863</v>
      </c>
    </row>
    <row r="29" spans="1:8" ht="30">
      <c r="A29" s="323" t="s">
        <v>1888</v>
      </c>
      <c r="B29" s="323" t="s">
        <v>1861</v>
      </c>
      <c r="C29" s="323" t="s">
        <v>1355</v>
      </c>
      <c r="D29" s="323" t="s">
        <v>526</v>
      </c>
      <c r="E29" s="323" t="s">
        <v>808</v>
      </c>
      <c r="F29" s="323" t="s">
        <v>1862</v>
      </c>
      <c r="G29" s="323" t="s">
        <v>844</v>
      </c>
      <c r="H29" s="323" t="s">
        <v>1863</v>
      </c>
    </row>
    <row r="30" spans="1:8" ht="30">
      <c r="A30" s="323" t="s">
        <v>1889</v>
      </c>
      <c r="B30" s="323" t="s">
        <v>1861</v>
      </c>
      <c r="C30" s="323" t="s">
        <v>1358</v>
      </c>
      <c r="D30" s="323" t="s">
        <v>530</v>
      </c>
      <c r="E30" s="323" t="s">
        <v>808</v>
      </c>
      <c r="F30" s="323" t="s">
        <v>1862</v>
      </c>
      <c r="G30" s="323" t="s">
        <v>844</v>
      </c>
      <c r="H30" s="323" t="s">
        <v>1863</v>
      </c>
    </row>
    <row r="31" spans="1:8" ht="30">
      <c r="A31" s="323" t="s">
        <v>1890</v>
      </c>
      <c r="B31" s="323" t="s">
        <v>1861</v>
      </c>
      <c r="C31" s="323" t="s">
        <v>1369</v>
      </c>
      <c r="D31" s="323" t="s">
        <v>548</v>
      </c>
      <c r="E31" s="323" t="s">
        <v>802</v>
      </c>
      <c r="F31" s="323" t="s">
        <v>1866</v>
      </c>
      <c r="G31" s="323" t="s">
        <v>844</v>
      </c>
      <c r="H31" s="323" t="s">
        <v>1863</v>
      </c>
    </row>
    <row r="32" spans="1:8" ht="30">
      <c r="A32" s="323" t="s">
        <v>1891</v>
      </c>
      <c r="B32" s="323" t="s">
        <v>1861</v>
      </c>
      <c r="C32" s="323" t="s">
        <v>1369</v>
      </c>
      <c r="D32" s="323" t="s">
        <v>548</v>
      </c>
      <c r="E32" s="323" t="s">
        <v>808</v>
      </c>
      <c r="F32" s="323" t="s">
        <v>1862</v>
      </c>
      <c r="G32" s="323" t="s">
        <v>844</v>
      </c>
      <c r="H32" s="323" t="s">
        <v>1863</v>
      </c>
    </row>
    <row r="33" spans="1:8" ht="30">
      <c r="A33" s="323" t="s">
        <v>1892</v>
      </c>
      <c r="B33" s="323" t="s">
        <v>1861</v>
      </c>
      <c r="C33" s="323" t="s">
        <v>1374</v>
      </c>
      <c r="D33" s="323" t="s">
        <v>558</v>
      </c>
      <c r="E33" s="323" t="s">
        <v>802</v>
      </c>
      <c r="F33" s="323" t="s">
        <v>1866</v>
      </c>
      <c r="G33" s="323" t="s">
        <v>844</v>
      </c>
      <c r="H33" s="323" t="s">
        <v>1863</v>
      </c>
    </row>
    <row r="34" spans="1:8" ht="30">
      <c r="A34" s="323" t="s">
        <v>1893</v>
      </c>
      <c r="B34" s="323" t="s">
        <v>1861</v>
      </c>
      <c r="C34" s="323" t="s">
        <v>1060</v>
      </c>
      <c r="D34" s="323" t="s">
        <v>569</v>
      </c>
      <c r="E34" s="323" t="s">
        <v>808</v>
      </c>
      <c r="F34" s="323" t="s">
        <v>1862</v>
      </c>
      <c r="G34" s="323" t="s">
        <v>844</v>
      </c>
      <c r="H34" s="323" t="s">
        <v>1863</v>
      </c>
    </row>
    <row r="35" spans="1:8" ht="30">
      <c r="A35" s="323" t="s">
        <v>1894</v>
      </c>
      <c r="B35" s="323" t="s">
        <v>1861</v>
      </c>
      <c r="C35" s="323" t="s">
        <v>1070</v>
      </c>
      <c r="D35" s="323" t="s">
        <v>573</v>
      </c>
      <c r="E35" s="323" t="s">
        <v>808</v>
      </c>
      <c r="F35" s="323" t="s">
        <v>1862</v>
      </c>
      <c r="G35" s="323" t="s">
        <v>844</v>
      </c>
      <c r="H35" s="323" t="s">
        <v>1863</v>
      </c>
    </row>
    <row r="36" spans="1:8" ht="30">
      <c r="A36" s="323" t="s">
        <v>1895</v>
      </c>
      <c r="B36" s="323" t="s">
        <v>1861</v>
      </c>
      <c r="C36" s="323" t="s">
        <v>1063</v>
      </c>
      <c r="D36" s="323" t="s">
        <v>84</v>
      </c>
      <c r="E36" s="323" t="s">
        <v>808</v>
      </c>
      <c r="F36" s="323" t="s">
        <v>1862</v>
      </c>
      <c r="G36" s="323" t="s">
        <v>844</v>
      </c>
      <c r="H36" s="323" t="s">
        <v>1863</v>
      </c>
    </row>
    <row r="37" spans="1:8" ht="30">
      <c r="A37" s="323" t="s">
        <v>1896</v>
      </c>
      <c r="B37" s="323" t="s">
        <v>1861</v>
      </c>
      <c r="C37" s="323" t="s">
        <v>1382</v>
      </c>
      <c r="D37" s="323" t="s">
        <v>577</v>
      </c>
      <c r="E37" s="323" t="s">
        <v>808</v>
      </c>
      <c r="F37" s="323" t="s">
        <v>1862</v>
      </c>
      <c r="G37" s="323" t="s">
        <v>844</v>
      </c>
      <c r="H37" s="323" t="s">
        <v>1863</v>
      </c>
    </row>
    <row r="38" spans="1:8" ht="30">
      <c r="A38" s="323" t="s">
        <v>1897</v>
      </c>
      <c r="B38" s="323" t="s">
        <v>1861</v>
      </c>
      <c r="C38" s="323" t="s">
        <v>1095</v>
      </c>
      <c r="D38" s="323" t="s">
        <v>87</v>
      </c>
      <c r="E38" s="323" t="s">
        <v>808</v>
      </c>
      <c r="F38" s="323" t="s">
        <v>1862</v>
      </c>
      <c r="G38" s="323" t="s">
        <v>844</v>
      </c>
      <c r="H38" s="323" t="s">
        <v>1863</v>
      </c>
    </row>
    <row r="39" spans="1:8" ht="30">
      <c r="A39" s="323" t="s">
        <v>1898</v>
      </c>
      <c r="B39" s="323" t="s">
        <v>1861</v>
      </c>
      <c r="C39" s="323" t="s">
        <v>1104</v>
      </c>
      <c r="D39" s="323" t="s">
        <v>590</v>
      </c>
      <c r="E39" s="323" t="s">
        <v>808</v>
      </c>
      <c r="F39" s="323" t="s">
        <v>1862</v>
      </c>
      <c r="G39" s="323" t="s">
        <v>844</v>
      </c>
      <c r="H39" s="323" t="s">
        <v>1863</v>
      </c>
    </row>
    <row r="40" spans="1:8" ht="30">
      <c r="A40" s="323" t="s">
        <v>1899</v>
      </c>
      <c r="B40" s="323" t="s">
        <v>1861</v>
      </c>
      <c r="C40" s="323" t="s">
        <v>1116</v>
      </c>
      <c r="D40" s="323" t="s">
        <v>606</v>
      </c>
      <c r="E40" s="323" t="s">
        <v>808</v>
      </c>
      <c r="F40" s="323" t="s">
        <v>1862</v>
      </c>
      <c r="G40" s="323" t="s">
        <v>844</v>
      </c>
      <c r="H40" s="323" t="s">
        <v>1863</v>
      </c>
    </row>
    <row r="41" spans="1:8" ht="30">
      <c r="A41" s="323" t="s">
        <v>1900</v>
      </c>
      <c r="B41" s="323" t="s">
        <v>1861</v>
      </c>
      <c r="C41" s="323" t="s">
        <v>1407</v>
      </c>
      <c r="D41" s="323" t="s">
        <v>619</v>
      </c>
      <c r="E41" s="323" t="s">
        <v>808</v>
      </c>
      <c r="F41" s="323" t="s">
        <v>1862</v>
      </c>
      <c r="G41" s="323" t="s">
        <v>844</v>
      </c>
      <c r="H41" s="323" t="s">
        <v>1863</v>
      </c>
    </row>
    <row r="42" spans="1:8" ht="30">
      <c r="A42" s="323" t="s">
        <v>1901</v>
      </c>
      <c r="B42" s="323" t="s">
        <v>1861</v>
      </c>
      <c r="C42" s="323" t="s">
        <v>1412</v>
      </c>
      <c r="D42" s="323" t="s">
        <v>626</v>
      </c>
      <c r="E42" s="323" t="s">
        <v>808</v>
      </c>
      <c r="F42" s="323" t="s">
        <v>1862</v>
      </c>
      <c r="G42" s="323" t="s">
        <v>844</v>
      </c>
      <c r="H42" s="323" t="s">
        <v>1863</v>
      </c>
    </row>
    <row r="43" spans="1:8" ht="30">
      <c r="A43" s="323" t="s">
        <v>1902</v>
      </c>
      <c r="B43" s="323" t="s">
        <v>1861</v>
      </c>
      <c r="C43" s="323" t="s">
        <v>1122</v>
      </c>
      <c r="D43" s="323" t="s">
        <v>94</v>
      </c>
      <c r="E43" s="323" t="s">
        <v>808</v>
      </c>
      <c r="F43" s="323" t="s">
        <v>1862</v>
      </c>
      <c r="G43" s="323" t="s">
        <v>844</v>
      </c>
      <c r="H43" s="323" t="s">
        <v>1863</v>
      </c>
    </row>
    <row r="44" spans="1:8" ht="30">
      <c r="A44" s="323" t="s">
        <v>1903</v>
      </c>
      <c r="B44" s="323" t="s">
        <v>1861</v>
      </c>
      <c r="C44" s="323" t="s">
        <v>1014</v>
      </c>
      <c r="D44" s="323" t="s">
        <v>637</v>
      </c>
      <c r="E44" s="323" t="s">
        <v>808</v>
      </c>
      <c r="F44" s="323" t="s">
        <v>1862</v>
      </c>
      <c r="G44" s="323" t="s">
        <v>844</v>
      </c>
      <c r="H44" s="323" t="s">
        <v>1863</v>
      </c>
    </row>
    <row r="45" spans="1:8" ht="30">
      <c r="A45" s="323" t="s">
        <v>1904</v>
      </c>
      <c r="B45" s="323" t="s">
        <v>1861</v>
      </c>
      <c r="C45" s="323" t="s">
        <v>1420</v>
      </c>
      <c r="D45" s="323" t="s">
        <v>640</v>
      </c>
      <c r="E45" s="323" t="s">
        <v>802</v>
      </c>
      <c r="F45" s="323" t="s">
        <v>1866</v>
      </c>
      <c r="G45" s="323" t="s">
        <v>844</v>
      </c>
      <c r="H45" s="323" t="s">
        <v>1863</v>
      </c>
    </row>
    <row r="46" spans="1:8" ht="30">
      <c r="A46" s="323" t="s">
        <v>1905</v>
      </c>
      <c r="B46" s="323" t="s">
        <v>1861</v>
      </c>
      <c r="C46" s="323" t="s">
        <v>1420</v>
      </c>
      <c r="D46" s="323" t="s">
        <v>640</v>
      </c>
      <c r="E46" s="323" t="s">
        <v>808</v>
      </c>
      <c r="F46" s="323" t="s">
        <v>1862</v>
      </c>
      <c r="G46" s="323" t="s">
        <v>844</v>
      </c>
      <c r="H46" s="323" t="s">
        <v>1863</v>
      </c>
    </row>
    <row r="47" spans="1:8" ht="30">
      <c r="A47" s="323" t="s">
        <v>1906</v>
      </c>
      <c r="B47" s="323" t="s">
        <v>1861</v>
      </c>
      <c r="C47" s="323" t="s">
        <v>1020</v>
      </c>
      <c r="D47" s="323" t="s">
        <v>109</v>
      </c>
      <c r="E47" s="323" t="s">
        <v>802</v>
      </c>
      <c r="F47" s="323" t="s">
        <v>1866</v>
      </c>
      <c r="G47" s="323" t="s">
        <v>844</v>
      </c>
      <c r="H47" s="323" t="s">
        <v>1863</v>
      </c>
    </row>
    <row r="48" spans="1:8" ht="30">
      <c r="A48" s="323" t="s">
        <v>1907</v>
      </c>
      <c r="B48" s="323" t="s">
        <v>1861</v>
      </c>
      <c r="C48" s="323" t="s">
        <v>1422</v>
      </c>
      <c r="D48" s="323" t="s">
        <v>646</v>
      </c>
      <c r="E48" s="323" t="s">
        <v>802</v>
      </c>
      <c r="F48" s="323" t="s">
        <v>1866</v>
      </c>
      <c r="G48" s="323" t="s">
        <v>844</v>
      </c>
      <c r="H48" s="323" t="s">
        <v>1863</v>
      </c>
    </row>
    <row r="49" spans="1:8" ht="30">
      <c r="A49" s="323" t="s">
        <v>1908</v>
      </c>
      <c r="B49" s="323" t="s">
        <v>1861</v>
      </c>
      <c r="C49" s="323" t="s">
        <v>1423</v>
      </c>
      <c r="D49" s="323" t="s">
        <v>110</v>
      </c>
      <c r="E49" s="323" t="s">
        <v>808</v>
      </c>
      <c r="F49" s="323" t="s">
        <v>1862</v>
      </c>
      <c r="G49" s="323" t="s">
        <v>844</v>
      </c>
      <c r="H49" s="323" t="s">
        <v>1863</v>
      </c>
    </row>
    <row r="50" spans="1:8" ht="30">
      <c r="A50" s="323" t="s">
        <v>1909</v>
      </c>
      <c r="B50" s="323" t="s">
        <v>1861</v>
      </c>
      <c r="C50" s="323" t="s">
        <v>1176</v>
      </c>
      <c r="D50" s="323" t="s">
        <v>158</v>
      </c>
      <c r="E50" s="323" t="s">
        <v>1910</v>
      </c>
      <c r="F50" s="323" t="s">
        <v>1862</v>
      </c>
      <c r="G50" s="323" t="s">
        <v>844</v>
      </c>
      <c r="H50" s="323" t="s">
        <v>1911</v>
      </c>
    </row>
    <row r="51" spans="1:8" ht="30">
      <c r="A51" s="323" t="s">
        <v>1912</v>
      </c>
      <c r="B51" s="323" t="s">
        <v>1861</v>
      </c>
      <c r="C51" s="323" t="s">
        <v>1201</v>
      </c>
      <c r="D51" s="323" t="s">
        <v>191</v>
      </c>
      <c r="E51" s="323" t="s">
        <v>1910</v>
      </c>
      <c r="F51" s="323" t="s">
        <v>1862</v>
      </c>
      <c r="G51" s="323" t="s">
        <v>844</v>
      </c>
      <c r="H51" s="323" t="s">
        <v>1911</v>
      </c>
    </row>
    <row r="52" spans="1:8" ht="30">
      <c r="A52" s="323" t="s">
        <v>1913</v>
      </c>
      <c r="B52" s="323" t="s">
        <v>1861</v>
      </c>
      <c r="C52" s="323" t="s">
        <v>1219</v>
      </c>
      <c r="D52" s="323" t="s">
        <v>243</v>
      </c>
      <c r="E52" s="323" t="s">
        <v>1910</v>
      </c>
      <c r="F52" s="323" t="s">
        <v>1862</v>
      </c>
      <c r="G52" s="323" t="s">
        <v>844</v>
      </c>
      <c r="H52" s="323" t="s">
        <v>1911</v>
      </c>
    </row>
    <row r="53" spans="1:8" ht="30">
      <c r="A53" s="323" t="s">
        <v>1914</v>
      </c>
      <c r="B53" s="323" t="s">
        <v>1861</v>
      </c>
      <c r="C53" s="323" t="s">
        <v>1255</v>
      </c>
      <c r="D53" s="323"/>
      <c r="E53" s="323" t="s">
        <v>1910</v>
      </c>
      <c r="F53" s="323" t="s">
        <v>1862</v>
      </c>
      <c r="G53" s="323" t="s">
        <v>844</v>
      </c>
      <c r="H53" s="323" t="s">
        <v>1911</v>
      </c>
    </row>
    <row r="54" spans="1:8" ht="30">
      <c r="A54" s="323" t="s">
        <v>1915</v>
      </c>
      <c r="B54" s="323" t="s">
        <v>1861</v>
      </c>
      <c r="C54" s="323" t="s">
        <v>1267</v>
      </c>
      <c r="D54" s="323" t="s">
        <v>347</v>
      </c>
      <c r="E54" s="323" t="s">
        <v>1910</v>
      </c>
      <c r="F54" s="323" t="s">
        <v>1862</v>
      </c>
      <c r="G54" s="323" t="s">
        <v>844</v>
      </c>
      <c r="H54" s="323" t="s">
        <v>1911</v>
      </c>
    </row>
    <row r="55" spans="1:8" ht="30">
      <c r="A55" s="323" t="s">
        <v>1916</v>
      </c>
      <c r="B55" s="323" t="s">
        <v>1861</v>
      </c>
      <c r="C55" s="323" t="s">
        <v>1290</v>
      </c>
      <c r="D55" s="323" t="s">
        <v>396</v>
      </c>
      <c r="E55" s="323" t="s">
        <v>1910</v>
      </c>
      <c r="F55" s="323" t="s">
        <v>1862</v>
      </c>
      <c r="G55" s="323" t="s">
        <v>844</v>
      </c>
      <c r="H55" s="323" t="s">
        <v>1911</v>
      </c>
    </row>
    <row r="56" spans="1:8" ht="30">
      <c r="A56" s="323" t="s">
        <v>1917</v>
      </c>
      <c r="B56" s="323" t="s">
        <v>1861</v>
      </c>
      <c r="C56" s="323" t="s">
        <v>1319</v>
      </c>
      <c r="D56" s="323" t="s">
        <v>466</v>
      </c>
      <c r="E56" s="323" t="s">
        <v>1910</v>
      </c>
      <c r="F56" s="323" t="s">
        <v>1862</v>
      </c>
      <c r="G56" s="323" t="s">
        <v>844</v>
      </c>
      <c r="H56" s="323" t="s">
        <v>1911</v>
      </c>
    </row>
    <row r="57" spans="1:8" ht="30">
      <c r="A57" s="323" t="s">
        <v>1918</v>
      </c>
      <c r="B57" s="323" t="s">
        <v>1861</v>
      </c>
      <c r="C57" s="323" t="s">
        <v>1324</v>
      </c>
      <c r="D57" s="323" t="s">
        <v>474</v>
      </c>
      <c r="E57" s="323" t="s">
        <v>1910</v>
      </c>
      <c r="F57" s="323" t="s">
        <v>1862</v>
      </c>
      <c r="G57" s="323" t="s">
        <v>844</v>
      </c>
      <c r="H57" s="323" t="s">
        <v>1911</v>
      </c>
    </row>
    <row r="58" spans="1:8" ht="30">
      <c r="A58" s="323" t="s">
        <v>1919</v>
      </c>
      <c r="B58" s="323" t="s">
        <v>1861</v>
      </c>
      <c r="C58" s="323" t="s">
        <v>1325</v>
      </c>
      <c r="D58" s="323" t="s">
        <v>913</v>
      </c>
      <c r="E58" s="323" t="s">
        <v>1910</v>
      </c>
      <c r="F58" s="323" t="s">
        <v>1862</v>
      </c>
      <c r="G58" s="323" t="s">
        <v>844</v>
      </c>
      <c r="H58" s="323" t="s">
        <v>1911</v>
      </c>
    </row>
    <row r="59" spans="1:8" ht="30">
      <c r="A59" s="323" t="s">
        <v>1920</v>
      </c>
      <c r="B59" s="323" t="s">
        <v>1861</v>
      </c>
      <c r="C59" s="323" t="s">
        <v>1326</v>
      </c>
      <c r="D59" s="323" t="s">
        <v>482</v>
      </c>
      <c r="E59" s="323" t="s">
        <v>1910</v>
      </c>
      <c r="F59" s="323" t="s">
        <v>1862</v>
      </c>
      <c r="G59" s="323" t="s">
        <v>844</v>
      </c>
      <c r="H59" s="323" t="s">
        <v>1911</v>
      </c>
    </row>
    <row r="60" spans="1:8" ht="30">
      <c r="A60" s="323" t="s">
        <v>1921</v>
      </c>
      <c r="B60" s="323" t="s">
        <v>1861</v>
      </c>
      <c r="C60" s="323" t="s">
        <v>1347</v>
      </c>
      <c r="D60" s="323" t="s">
        <v>509</v>
      </c>
      <c r="E60" s="323" t="s">
        <v>1910</v>
      </c>
      <c r="F60" s="323" t="s">
        <v>1862</v>
      </c>
      <c r="G60" s="323" t="s">
        <v>844</v>
      </c>
      <c r="H60" s="323" t="s">
        <v>1911</v>
      </c>
    </row>
    <row r="61" spans="1:8" ht="30">
      <c r="A61" s="323" t="s">
        <v>1922</v>
      </c>
      <c r="B61" s="323" t="s">
        <v>1861</v>
      </c>
      <c r="C61" s="323" t="s">
        <v>1349</v>
      </c>
      <c r="D61" s="323" t="s">
        <v>517</v>
      </c>
      <c r="E61" s="323" t="s">
        <v>1910</v>
      </c>
      <c r="F61" s="323" t="s">
        <v>1862</v>
      </c>
      <c r="G61" s="323" t="s">
        <v>844</v>
      </c>
      <c r="H61" s="323" t="s">
        <v>1911</v>
      </c>
    </row>
    <row r="62" spans="1:8" ht="30">
      <c r="A62" s="323" t="s">
        <v>1923</v>
      </c>
      <c r="B62" s="323" t="s">
        <v>1861</v>
      </c>
      <c r="C62" s="323" t="s">
        <v>1369</v>
      </c>
      <c r="D62" s="323" t="s">
        <v>548</v>
      </c>
      <c r="E62" s="323" t="s">
        <v>1910</v>
      </c>
      <c r="F62" s="323" t="s">
        <v>1862</v>
      </c>
      <c r="G62" s="323" t="s">
        <v>844</v>
      </c>
      <c r="H62" s="323" t="s">
        <v>1911</v>
      </c>
    </row>
    <row r="63" spans="1:8" ht="30">
      <c r="A63" s="323" t="s">
        <v>1924</v>
      </c>
      <c r="B63" s="323" t="s">
        <v>1861</v>
      </c>
      <c r="C63" s="323" t="s">
        <v>1374</v>
      </c>
      <c r="D63" s="323" t="s">
        <v>558</v>
      </c>
      <c r="E63" s="323" t="s">
        <v>1910</v>
      </c>
      <c r="F63" s="323" t="s">
        <v>1862</v>
      </c>
      <c r="G63" s="323" t="s">
        <v>844</v>
      </c>
      <c r="H63" s="323" t="s">
        <v>1911</v>
      </c>
    </row>
    <row r="64" spans="1:8" ht="30">
      <c r="A64" s="323" t="s">
        <v>1925</v>
      </c>
      <c r="B64" s="323" t="s">
        <v>1861</v>
      </c>
      <c r="C64" s="323" t="s">
        <v>1420</v>
      </c>
      <c r="D64" s="323" t="s">
        <v>640</v>
      </c>
      <c r="E64" s="323" t="s">
        <v>1910</v>
      </c>
      <c r="F64" s="323" t="s">
        <v>1862</v>
      </c>
      <c r="G64" s="323" t="s">
        <v>844</v>
      </c>
      <c r="H64" s="323" t="s">
        <v>1911</v>
      </c>
    </row>
    <row r="65" spans="1:8" ht="30">
      <c r="A65" s="323" t="s">
        <v>1926</v>
      </c>
      <c r="B65" s="323" t="s">
        <v>1861</v>
      </c>
      <c r="C65" s="323" t="s">
        <v>1020</v>
      </c>
      <c r="D65" s="323" t="s">
        <v>109</v>
      </c>
      <c r="E65" s="323" t="s">
        <v>1910</v>
      </c>
      <c r="F65" s="323" t="s">
        <v>1862</v>
      </c>
      <c r="G65" s="323" t="s">
        <v>844</v>
      </c>
      <c r="H65" s="323" t="s">
        <v>1911</v>
      </c>
    </row>
    <row r="66" spans="1:8" ht="30">
      <c r="A66" s="323" t="s">
        <v>1927</v>
      </c>
      <c r="B66" s="323" t="s">
        <v>1861</v>
      </c>
      <c r="C66" s="323" t="s">
        <v>1422</v>
      </c>
      <c r="D66" s="323" t="s">
        <v>646</v>
      </c>
      <c r="E66" s="323" t="s">
        <v>1910</v>
      </c>
      <c r="F66" s="323" t="s">
        <v>1862</v>
      </c>
      <c r="G66" s="323" t="s">
        <v>844</v>
      </c>
      <c r="H66" s="323" t="s">
        <v>1911</v>
      </c>
    </row>
    <row r="67" spans="1:8" ht="30">
      <c r="A67" s="323" t="s">
        <v>1928</v>
      </c>
      <c r="B67" s="323" t="s">
        <v>1929</v>
      </c>
      <c r="C67" s="323" t="s">
        <v>841</v>
      </c>
      <c r="D67" s="323" t="s">
        <v>843</v>
      </c>
      <c r="E67" s="323" t="s">
        <v>803</v>
      </c>
      <c r="F67" s="323" t="s">
        <v>1866</v>
      </c>
      <c r="G67" s="323" t="s">
        <v>844</v>
      </c>
      <c r="H67" s="323" t="s">
        <v>1930</v>
      </c>
    </row>
    <row r="68" spans="1:8" ht="30">
      <c r="A68" s="323" t="s">
        <v>1931</v>
      </c>
      <c r="B68" s="323" t="s">
        <v>1929</v>
      </c>
      <c r="C68" s="323" t="s">
        <v>845</v>
      </c>
      <c r="D68" s="323" t="s">
        <v>52</v>
      </c>
      <c r="E68" s="323" t="s">
        <v>803</v>
      </c>
      <c r="F68" s="323" t="s">
        <v>1866</v>
      </c>
      <c r="G68" s="323" t="s">
        <v>844</v>
      </c>
      <c r="H68" s="323" t="s">
        <v>1930</v>
      </c>
    </row>
    <row r="69" spans="1:8" ht="30">
      <c r="A69" s="323" t="s">
        <v>1932</v>
      </c>
      <c r="B69" s="323" t="s">
        <v>1929</v>
      </c>
      <c r="C69" s="323" t="s">
        <v>847</v>
      </c>
      <c r="D69" s="323" t="s">
        <v>849</v>
      </c>
      <c r="E69" s="323" t="s">
        <v>803</v>
      </c>
      <c r="F69" s="323" t="s">
        <v>1866</v>
      </c>
      <c r="G69" s="323" t="s">
        <v>844</v>
      </c>
      <c r="H69" s="323" t="s">
        <v>1930</v>
      </c>
    </row>
    <row r="70" spans="1:8" ht="30">
      <c r="A70" s="323" t="s">
        <v>1933</v>
      </c>
      <c r="B70" s="323" t="s">
        <v>1929</v>
      </c>
      <c r="C70" s="323" t="s">
        <v>850</v>
      </c>
      <c r="D70" s="323" t="s">
        <v>852</v>
      </c>
      <c r="E70" s="323" t="s">
        <v>803</v>
      </c>
      <c r="F70" s="323" t="s">
        <v>1866</v>
      </c>
      <c r="G70" s="323" t="s">
        <v>844</v>
      </c>
      <c r="H70" s="323" t="s">
        <v>1930</v>
      </c>
    </row>
    <row r="71" spans="1:8" ht="30">
      <c r="A71" s="323" t="s">
        <v>1934</v>
      </c>
      <c r="B71" s="323" t="s">
        <v>1929</v>
      </c>
      <c r="C71" s="323" t="s">
        <v>853</v>
      </c>
      <c r="D71" s="323" t="s">
        <v>855</v>
      </c>
      <c r="E71" s="323" t="s">
        <v>803</v>
      </c>
      <c r="F71" s="323" t="s">
        <v>1866</v>
      </c>
      <c r="G71" s="323" t="s">
        <v>844</v>
      </c>
      <c r="H71" s="323" t="s">
        <v>1930</v>
      </c>
    </row>
    <row r="72" spans="1:8" ht="30">
      <c r="A72" s="323" t="s">
        <v>1935</v>
      </c>
      <c r="B72" s="323" t="s">
        <v>1929</v>
      </c>
      <c r="C72" s="323" t="s">
        <v>856</v>
      </c>
      <c r="D72" s="323" t="s">
        <v>858</v>
      </c>
      <c r="E72" s="323" t="s">
        <v>803</v>
      </c>
      <c r="F72" s="323" t="s">
        <v>1866</v>
      </c>
      <c r="G72" s="323" t="s">
        <v>844</v>
      </c>
      <c r="H72" s="323" t="s">
        <v>1930</v>
      </c>
    </row>
    <row r="73" spans="1:8" ht="30">
      <c r="A73" s="323" t="s">
        <v>1936</v>
      </c>
      <c r="B73" s="323" t="s">
        <v>1929</v>
      </c>
      <c r="C73" s="323" t="s">
        <v>866</v>
      </c>
      <c r="D73" s="323" t="s">
        <v>868</v>
      </c>
      <c r="E73" s="323" t="s">
        <v>803</v>
      </c>
      <c r="F73" s="323" t="s">
        <v>1866</v>
      </c>
      <c r="G73" s="323" t="s">
        <v>844</v>
      </c>
      <c r="H73" s="323" t="s">
        <v>1930</v>
      </c>
    </row>
    <row r="74" spans="1:8" ht="30">
      <c r="A74" s="323" t="s">
        <v>1937</v>
      </c>
      <c r="B74" s="323" t="s">
        <v>1929</v>
      </c>
      <c r="C74" s="323" t="s">
        <v>869</v>
      </c>
      <c r="D74" s="323" t="s">
        <v>871</v>
      </c>
      <c r="E74" s="323" t="s">
        <v>803</v>
      </c>
      <c r="F74" s="323" t="s">
        <v>1866</v>
      </c>
      <c r="G74" s="323" t="s">
        <v>844</v>
      </c>
      <c r="H74" s="323" t="s">
        <v>1930</v>
      </c>
    </row>
    <row r="75" spans="1:8" ht="30">
      <c r="A75" s="323" t="s">
        <v>1938</v>
      </c>
      <c r="B75" s="323" t="s">
        <v>1929</v>
      </c>
      <c r="C75" s="323" t="s">
        <v>875</v>
      </c>
      <c r="D75" s="323" t="s">
        <v>877</v>
      </c>
      <c r="E75" s="323" t="s">
        <v>803</v>
      </c>
      <c r="F75" s="323" t="s">
        <v>1866</v>
      </c>
      <c r="G75" s="323" t="s">
        <v>844</v>
      </c>
      <c r="H75" s="323" t="s">
        <v>1930</v>
      </c>
    </row>
    <row r="76" spans="1:8" ht="30">
      <c r="A76" s="323" t="s">
        <v>1939</v>
      </c>
      <c r="B76" s="323" t="s">
        <v>1929</v>
      </c>
      <c r="C76" s="323" t="s">
        <v>878</v>
      </c>
      <c r="D76" s="323" t="s">
        <v>880</v>
      </c>
      <c r="E76" s="323" t="s">
        <v>803</v>
      </c>
      <c r="F76" s="323" t="s">
        <v>1866</v>
      </c>
      <c r="G76" s="323" t="s">
        <v>844</v>
      </c>
      <c r="H76" s="323" t="s">
        <v>1930</v>
      </c>
    </row>
    <row r="77" spans="1:8" ht="30">
      <c r="A77" s="323" t="s">
        <v>1940</v>
      </c>
      <c r="B77" s="323" t="s">
        <v>1929</v>
      </c>
      <c r="C77" s="323" t="s">
        <v>884</v>
      </c>
      <c r="D77" s="323" t="s">
        <v>886</v>
      </c>
      <c r="E77" s="323" t="s">
        <v>803</v>
      </c>
      <c r="F77" s="323" t="s">
        <v>1866</v>
      </c>
      <c r="G77" s="323" t="s">
        <v>844</v>
      </c>
      <c r="H77" s="323" t="s">
        <v>1930</v>
      </c>
    </row>
    <row r="78" spans="1:8" ht="30">
      <c r="A78" s="323" t="s">
        <v>1941</v>
      </c>
      <c r="B78" s="323" t="s">
        <v>1929</v>
      </c>
      <c r="C78" s="323" t="s">
        <v>887</v>
      </c>
      <c r="D78" s="323" t="s">
        <v>889</v>
      </c>
      <c r="E78" s="323" t="s">
        <v>803</v>
      </c>
      <c r="F78" s="323" t="s">
        <v>1866</v>
      </c>
      <c r="G78" s="323" t="s">
        <v>844</v>
      </c>
      <c r="H78" s="323" t="s">
        <v>1930</v>
      </c>
    </row>
    <row r="79" spans="1:8" ht="30">
      <c r="A79" s="323" t="s">
        <v>1942</v>
      </c>
      <c r="B79" s="323" t="s">
        <v>1929</v>
      </c>
      <c r="C79" s="323" t="s">
        <v>896</v>
      </c>
      <c r="D79" s="323" t="s">
        <v>898</v>
      </c>
      <c r="E79" s="323" t="s">
        <v>803</v>
      </c>
      <c r="F79" s="323" t="s">
        <v>1866</v>
      </c>
      <c r="G79" s="323" t="s">
        <v>844</v>
      </c>
      <c r="H79" s="323" t="s">
        <v>1930</v>
      </c>
    </row>
    <row r="80" spans="1:8" ht="30">
      <c r="A80" s="323" t="s">
        <v>1943</v>
      </c>
      <c r="B80" s="323" t="s">
        <v>1929</v>
      </c>
      <c r="C80" s="323" t="s">
        <v>899</v>
      </c>
      <c r="D80" s="323" t="s">
        <v>901</v>
      </c>
      <c r="E80" s="323" t="s">
        <v>803</v>
      </c>
      <c r="F80" s="323" t="s">
        <v>1866</v>
      </c>
      <c r="G80" s="323" t="s">
        <v>844</v>
      </c>
      <c r="H80" s="323" t="s">
        <v>1930</v>
      </c>
    </row>
    <row r="81" spans="1:8" ht="30">
      <c r="A81" s="323" t="s">
        <v>1944</v>
      </c>
      <c r="B81" s="323" t="s">
        <v>1929</v>
      </c>
      <c r="C81" s="323" t="s">
        <v>905</v>
      </c>
      <c r="D81" s="323" t="s">
        <v>907</v>
      </c>
      <c r="E81" s="323" t="s">
        <v>803</v>
      </c>
      <c r="F81" s="323" t="s">
        <v>1866</v>
      </c>
      <c r="G81" s="323" t="s">
        <v>844</v>
      </c>
      <c r="H81" s="323" t="s">
        <v>1930</v>
      </c>
    </row>
    <row r="82" spans="1:8" ht="30">
      <c r="A82" s="323" t="s">
        <v>1945</v>
      </c>
      <c r="B82" s="323" t="s">
        <v>1929</v>
      </c>
      <c r="C82" s="323" t="s">
        <v>911</v>
      </c>
      <c r="D82" s="323" t="s">
        <v>912</v>
      </c>
      <c r="E82" s="323" t="s">
        <v>803</v>
      </c>
      <c r="F82" s="323" t="s">
        <v>1866</v>
      </c>
      <c r="G82" s="323" t="s">
        <v>844</v>
      </c>
      <c r="H82" s="323" t="s">
        <v>1930</v>
      </c>
    </row>
    <row r="83" spans="1:8" ht="30">
      <c r="A83" s="323" t="s">
        <v>1946</v>
      </c>
      <c r="B83" s="323" t="s">
        <v>1929</v>
      </c>
      <c r="C83" s="323" t="s">
        <v>914</v>
      </c>
      <c r="D83" s="323" t="s">
        <v>40</v>
      </c>
      <c r="E83" s="323" t="s">
        <v>803</v>
      </c>
      <c r="F83" s="323" t="s">
        <v>1866</v>
      </c>
      <c r="G83" s="323" t="s">
        <v>844</v>
      </c>
      <c r="H83" s="323" t="s">
        <v>1930</v>
      </c>
    </row>
    <row r="84" spans="1:8" ht="30">
      <c r="A84" s="323" t="s">
        <v>1947</v>
      </c>
      <c r="B84" s="323" t="s">
        <v>1929</v>
      </c>
      <c r="C84" s="323" t="s">
        <v>916</v>
      </c>
      <c r="D84" s="323" t="s">
        <v>43</v>
      </c>
      <c r="E84" s="323" t="s">
        <v>803</v>
      </c>
      <c r="F84" s="323" t="s">
        <v>1866</v>
      </c>
      <c r="G84" s="323" t="s">
        <v>844</v>
      </c>
      <c r="H84" s="323" t="s">
        <v>1930</v>
      </c>
    </row>
    <row r="85" spans="1:8" ht="30">
      <c r="A85" s="323" t="s">
        <v>1948</v>
      </c>
      <c r="B85" s="323" t="s">
        <v>1929</v>
      </c>
      <c r="C85" s="323" t="s">
        <v>918</v>
      </c>
      <c r="D85" s="323" t="s">
        <v>920</v>
      </c>
      <c r="E85" s="323" t="s">
        <v>803</v>
      </c>
      <c r="F85" s="323" t="s">
        <v>1866</v>
      </c>
      <c r="G85" s="323" t="s">
        <v>844</v>
      </c>
      <c r="H85" s="323" t="s">
        <v>1930</v>
      </c>
    </row>
    <row r="86" spans="1:8" ht="30">
      <c r="A86" s="323" t="s">
        <v>1949</v>
      </c>
      <c r="B86" s="323" t="s">
        <v>1929</v>
      </c>
      <c r="C86" s="323" t="s">
        <v>924</v>
      </c>
      <c r="D86" s="323" t="s">
        <v>926</v>
      </c>
      <c r="E86" s="323" t="s">
        <v>803</v>
      </c>
      <c r="F86" s="323" t="s">
        <v>1866</v>
      </c>
      <c r="G86" s="323" t="s">
        <v>844</v>
      </c>
      <c r="H86" s="323" t="s">
        <v>1930</v>
      </c>
    </row>
    <row r="87" spans="1:8" ht="30">
      <c r="A87" s="323" t="s">
        <v>1950</v>
      </c>
      <c r="B87" s="323" t="s">
        <v>1929</v>
      </c>
      <c r="C87" s="323" t="s">
        <v>933</v>
      </c>
      <c r="D87" s="323" t="s">
        <v>935</v>
      </c>
      <c r="E87" s="323" t="s">
        <v>803</v>
      </c>
      <c r="F87" s="323" t="s">
        <v>1866</v>
      </c>
      <c r="G87" s="323" t="s">
        <v>844</v>
      </c>
      <c r="H87" s="323" t="s">
        <v>1930</v>
      </c>
    </row>
    <row r="88" spans="1:8" ht="30">
      <c r="A88" s="323" t="s">
        <v>1951</v>
      </c>
      <c r="B88" s="323" t="s">
        <v>1929</v>
      </c>
      <c r="C88" s="323" t="s">
        <v>936</v>
      </c>
      <c r="D88" s="323" t="s">
        <v>937</v>
      </c>
      <c r="E88" s="323" t="s">
        <v>803</v>
      </c>
      <c r="F88" s="323" t="s">
        <v>1866</v>
      </c>
      <c r="G88" s="323" t="s">
        <v>844</v>
      </c>
      <c r="H88" s="323" t="s">
        <v>1930</v>
      </c>
    </row>
    <row r="89" spans="1:8" ht="30">
      <c r="A89" s="323" t="s">
        <v>1952</v>
      </c>
      <c r="B89" s="323" t="s">
        <v>1929</v>
      </c>
      <c r="C89" s="323" t="s">
        <v>938</v>
      </c>
      <c r="D89" s="323" t="s">
        <v>940</v>
      </c>
      <c r="E89" s="323" t="s">
        <v>803</v>
      </c>
      <c r="F89" s="323" t="s">
        <v>1866</v>
      </c>
      <c r="G89" s="323" t="s">
        <v>844</v>
      </c>
      <c r="H89" s="323" t="s">
        <v>1930</v>
      </c>
    </row>
    <row r="90" spans="1:8" ht="30">
      <c r="A90" s="323" t="s">
        <v>1953</v>
      </c>
      <c r="B90" s="323" t="s">
        <v>1929</v>
      </c>
      <c r="C90" s="323" t="s">
        <v>950</v>
      </c>
      <c r="D90" s="323" t="s">
        <v>952</v>
      </c>
      <c r="E90" s="323" t="s">
        <v>803</v>
      </c>
      <c r="F90" s="323" t="s">
        <v>1866</v>
      </c>
      <c r="G90" s="323" t="s">
        <v>844</v>
      </c>
      <c r="H90" s="323" t="s">
        <v>1930</v>
      </c>
    </row>
    <row r="91" spans="1:8" ht="30">
      <c r="A91" s="323" t="s">
        <v>1954</v>
      </c>
      <c r="B91" s="323" t="s">
        <v>1929</v>
      </c>
      <c r="C91" s="323" t="s">
        <v>953</v>
      </c>
      <c r="D91" s="323" t="s">
        <v>955</v>
      </c>
      <c r="E91" s="323" t="s">
        <v>803</v>
      </c>
      <c r="F91" s="323" t="s">
        <v>1866</v>
      </c>
      <c r="G91" s="323" t="s">
        <v>844</v>
      </c>
      <c r="H91" s="323" t="s">
        <v>1930</v>
      </c>
    </row>
    <row r="92" spans="1:8" ht="30">
      <c r="A92" s="323" t="s">
        <v>1955</v>
      </c>
      <c r="B92" s="323" t="s">
        <v>1929</v>
      </c>
      <c r="C92" s="323" t="s">
        <v>959</v>
      </c>
      <c r="D92" s="323" t="s">
        <v>961</v>
      </c>
      <c r="E92" s="323" t="s">
        <v>803</v>
      </c>
      <c r="F92" s="323" t="s">
        <v>1866</v>
      </c>
      <c r="G92" s="323" t="s">
        <v>844</v>
      </c>
      <c r="H92" s="323" t="s">
        <v>1930</v>
      </c>
    </row>
    <row r="93" spans="1:8" ht="30">
      <c r="A93" s="323" t="s">
        <v>1956</v>
      </c>
      <c r="B93" s="323" t="s">
        <v>1929</v>
      </c>
      <c r="C93" s="323" t="s">
        <v>965</v>
      </c>
      <c r="D93" s="323" t="s">
        <v>967</v>
      </c>
      <c r="E93" s="323" t="s">
        <v>803</v>
      </c>
      <c r="F93" s="323" t="s">
        <v>1866</v>
      </c>
      <c r="G93" s="323" t="s">
        <v>844</v>
      </c>
      <c r="H93" s="323" t="s">
        <v>1930</v>
      </c>
    </row>
    <row r="94" spans="1:8" ht="30">
      <c r="A94" s="323" t="s">
        <v>1957</v>
      </c>
      <c r="B94" s="323" t="s">
        <v>1929</v>
      </c>
      <c r="C94" s="323" t="s">
        <v>968</v>
      </c>
      <c r="D94" s="323" t="s">
        <v>970</v>
      </c>
      <c r="E94" s="323" t="s">
        <v>803</v>
      </c>
      <c r="F94" s="323" t="s">
        <v>1866</v>
      </c>
      <c r="G94" s="323" t="s">
        <v>844</v>
      </c>
      <c r="H94" s="323" t="s">
        <v>1930</v>
      </c>
    </row>
    <row r="95" spans="1:8" ht="30">
      <c r="A95" s="323" t="s">
        <v>1958</v>
      </c>
      <c r="B95" s="323" t="s">
        <v>1929</v>
      </c>
      <c r="C95" s="323" t="s">
        <v>972</v>
      </c>
      <c r="D95" s="323" t="s">
        <v>974</v>
      </c>
      <c r="E95" s="323" t="s">
        <v>803</v>
      </c>
      <c r="F95" s="323" t="s">
        <v>1866</v>
      </c>
      <c r="G95" s="323" t="s">
        <v>844</v>
      </c>
      <c r="H95" s="323" t="s">
        <v>1930</v>
      </c>
    </row>
    <row r="96" spans="1:8" ht="30">
      <c r="A96" s="323" t="s">
        <v>1959</v>
      </c>
      <c r="B96" s="323" t="s">
        <v>1929</v>
      </c>
      <c r="C96" s="323" t="s">
        <v>975</v>
      </c>
      <c r="D96" s="323" t="s">
        <v>977</v>
      </c>
      <c r="E96" s="323" t="s">
        <v>803</v>
      </c>
      <c r="F96" s="323" t="s">
        <v>1866</v>
      </c>
      <c r="G96" s="323" t="s">
        <v>844</v>
      </c>
      <c r="H96" s="323" t="s">
        <v>1930</v>
      </c>
    </row>
    <row r="97" spans="1:8" ht="30">
      <c r="A97" s="323" t="s">
        <v>1960</v>
      </c>
      <c r="B97" s="323" t="s">
        <v>1929</v>
      </c>
      <c r="C97" s="323" t="s">
        <v>984</v>
      </c>
      <c r="D97" s="323" t="s">
        <v>985</v>
      </c>
      <c r="E97" s="323" t="s">
        <v>803</v>
      </c>
      <c r="F97" s="323" t="s">
        <v>1866</v>
      </c>
      <c r="G97" s="323" t="s">
        <v>844</v>
      </c>
      <c r="H97" s="323" t="s">
        <v>1930</v>
      </c>
    </row>
    <row r="98" spans="1:8" ht="30">
      <c r="A98" s="323" t="s">
        <v>1961</v>
      </c>
      <c r="B98" s="323" t="s">
        <v>1929</v>
      </c>
      <c r="C98" s="323" t="s">
        <v>992</v>
      </c>
      <c r="D98" s="323" t="s">
        <v>994</v>
      </c>
      <c r="E98" s="323" t="s">
        <v>803</v>
      </c>
      <c r="F98" s="323" t="s">
        <v>1866</v>
      </c>
      <c r="G98" s="323" t="s">
        <v>844</v>
      </c>
      <c r="H98" s="323" t="s">
        <v>1930</v>
      </c>
    </row>
    <row r="99" spans="1:8" ht="30">
      <c r="A99" s="323" t="s">
        <v>1962</v>
      </c>
      <c r="B99" s="323" t="s">
        <v>1929</v>
      </c>
      <c r="C99" s="323" t="s">
        <v>995</v>
      </c>
      <c r="D99" s="323" t="s">
        <v>997</v>
      </c>
      <c r="E99" s="323" t="s">
        <v>803</v>
      </c>
      <c r="F99" s="323" t="s">
        <v>1866</v>
      </c>
      <c r="G99" s="323" t="s">
        <v>844</v>
      </c>
      <c r="H99" s="323" t="s">
        <v>1930</v>
      </c>
    </row>
    <row r="100" spans="1:8" ht="30">
      <c r="A100" s="323" t="s">
        <v>1963</v>
      </c>
      <c r="B100" s="323" t="s">
        <v>1929</v>
      </c>
      <c r="C100" s="323" t="s">
        <v>998</v>
      </c>
      <c r="D100" s="323" t="s">
        <v>1000</v>
      </c>
      <c r="E100" s="323" t="s">
        <v>803</v>
      </c>
      <c r="F100" s="323" t="s">
        <v>1866</v>
      </c>
      <c r="G100" s="323" t="s">
        <v>844</v>
      </c>
      <c r="H100" s="323" t="s">
        <v>1930</v>
      </c>
    </row>
    <row r="101" spans="1:8" ht="30">
      <c r="A101" s="323" t="s">
        <v>1964</v>
      </c>
      <c r="B101" s="323" t="s">
        <v>1929</v>
      </c>
      <c r="C101" s="323" t="s">
        <v>1001</v>
      </c>
      <c r="D101" s="323" t="s">
        <v>1003</v>
      </c>
      <c r="E101" s="323" t="s">
        <v>803</v>
      </c>
      <c r="F101" s="323" t="s">
        <v>1866</v>
      </c>
      <c r="G101" s="323" t="s">
        <v>844</v>
      </c>
      <c r="H101" s="323" t="s">
        <v>1930</v>
      </c>
    </row>
    <row r="102" spans="1:8" ht="30">
      <c r="A102" s="323" t="s">
        <v>1965</v>
      </c>
      <c r="B102" s="323" t="s">
        <v>1929</v>
      </c>
      <c r="C102" s="323" t="s">
        <v>1007</v>
      </c>
      <c r="D102" s="323" t="s">
        <v>1008</v>
      </c>
      <c r="E102" s="323" t="s">
        <v>803</v>
      </c>
      <c r="F102" s="323" t="s">
        <v>1866</v>
      </c>
      <c r="G102" s="323" t="s">
        <v>844</v>
      </c>
      <c r="H102" s="323" t="s">
        <v>1930</v>
      </c>
    </row>
    <row r="103" spans="1:8" ht="30">
      <c r="A103" s="323" t="s">
        <v>1966</v>
      </c>
      <c r="B103" s="323" t="s">
        <v>1929</v>
      </c>
      <c r="C103" s="323" t="s">
        <v>1009</v>
      </c>
      <c r="D103" s="323" t="s">
        <v>1011</v>
      </c>
      <c r="E103" s="323" t="s">
        <v>803</v>
      </c>
      <c r="F103" s="323" t="s">
        <v>1866</v>
      </c>
      <c r="G103" s="323" t="s">
        <v>844</v>
      </c>
      <c r="H103" s="323" t="s">
        <v>1930</v>
      </c>
    </row>
    <row r="104" spans="1:8" ht="30">
      <c r="A104" s="323" t="s">
        <v>1967</v>
      </c>
      <c r="B104" s="323" t="s">
        <v>1929</v>
      </c>
      <c r="C104" s="323" t="s">
        <v>1021</v>
      </c>
      <c r="D104" s="323" t="s">
        <v>1022</v>
      </c>
      <c r="E104" s="323" t="s">
        <v>803</v>
      </c>
      <c r="F104" s="323" t="s">
        <v>1866</v>
      </c>
      <c r="G104" s="323" t="s">
        <v>844</v>
      </c>
      <c r="H104" s="323" t="s">
        <v>1930</v>
      </c>
    </row>
    <row r="105" spans="1:8" ht="30">
      <c r="A105" s="323" t="s">
        <v>1968</v>
      </c>
      <c r="B105" s="323" t="s">
        <v>1929</v>
      </c>
      <c r="C105" s="323" t="s">
        <v>1023</v>
      </c>
      <c r="D105" s="323" t="s">
        <v>1025</v>
      </c>
      <c r="E105" s="323" t="s">
        <v>803</v>
      </c>
      <c r="F105" s="323" t="s">
        <v>1866</v>
      </c>
      <c r="G105" s="323" t="s">
        <v>844</v>
      </c>
      <c r="H105" s="323" t="s">
        <v>1930</v>
      </c>
    </row>
    <row r="106" spans="1:8" ht="30">
      <c r="A106" s="323" t="s">
        <v>1969</v>
      </c>
      <c r="B106" s="323" t="s">
        <v>1929</v>
      </c>
      <c r="C106" s="323" t="s">
        <v>1026</v>
      </c>
      <c r="D106" s="323" t="s">
        <v>1028</v>
      </c>
      <c r="E106" s="323" t="s">
        <v>803</v>
      </c>
      <c r="F106" s="323" t="s">
        <v>1866</v>
      </c>
      <c r="G106" s="323" t="s">
        <v>844</v>
      </c>
      <c r="H106" s="323" t="s">
        <v>1930</v>
      </c>
    </row>
    <row r="107" spans="1:8" ht="30">
      <c r="A107" s="323" t="s">
        <v>1970</v>
      </c>
      <c r="B107" s="323" t="s">
        <v>1929</v>
      </c>
      <c r="C107" s="323" t="s">
        <v>1029</v>
      </c>
      <c r="D107" s="323" t="s">
        <v>1031</v>
      </c>
      <c r="E107" s="323" t="s">
        <v>803</v>
      </c>
      <c r="F107" s="323" t="s">
        <v>1866</v>
      </c>
      <c r="G107" s="323" t="s">
        <v>844</v>
      </c>
      <c r="H107" s="323" t="s">
        <v>1930</v>
      </c>
    </row>
    <row r="108" spans="1:8" ht="30">
      <c r="A108" s="323" t="s">
        <v>1971</v>
      </c>
      <c r="B108" s="323" t="s">
        <v>1929</v>
      </c>
      <c r="C108" s="323" t="s">
        <v>1032</v>
      </c>
      <c r="D108" s="323" t="s">
        <v>1034</v>
      </c>
      <c r="E108" s="323" t="s">
        <v>803</v>
      </c>
      <c r="F108" s="323" t="s">
        <v>1866</v>
      </c>
      <c r="G108" s="323" t="s">
        <v>844</v>
      </c>
      <c r="H108" s="323" t="s">
        <v>1930</v>
      </c>
    </row>
    <row r="109" spans="1:8" ht="30">
      <c r="A109" s="323" t="s">
        <v>1972</v>
      </c>
      <c r="B109" s="323" t="s">
        <v>1929</v>
      </c>
      <c r="C109" s="323" t="s">
        <v>1035</v>
      </c>
      <c r="D109" s="323" t="s">
        <v>1037</v>
      </c>
      <c r="E109" s="323" t="s">
        <v>803</v>
      </c>
      <c r="F109" s="323" t="s">
        <v>1866</v>
      </c>
      <c r="G109" s="323" t="s">
        <v>844</v>
      </c>
      <c r="H109" s="323" t="s">
        <v>1930</v>
      </c>
    </row>
    <row r="110" spans="1:8" ht="30">
      <c r="A110" s="323" t="s">
        <v>1973</v>
      </c>
      <c r="B110" s="323" t="s">
        <v>1929</v>
      </c>
      <c r="C110" s="323" t="s">
        <v>1038</v>
      </c>
      <c r="D110" s="323" t="s">
        <v>1040</v>
      </c>
      <c r="E110" s="323" t="s">
        <v>803</v>
      </c>
      <c r="F110" s="323" t="s">
        <v>1866</v>
      </c>
      <c r="G110" s="323" t="s">
        <v>844</v>
      </c>
      <c r="H110" s="323" t="s">
        <v>1930</v>
      </c>
    </row>
    <row r="111" spans="1:8" ht="30">
      <c r="A111" s="323" t="s">
        <v>1974</v>
      </c>
      <c r="B111" s="323" t="s">
        <v>1929</v>
      </c>
      <c r="C111" s="323" t="s">
        <v>1041</v>
      </c>
      <c r="D111" s="323" t="s">
        <v>1042</v>
      </c>
      <c r="E111" s="323" t="s">
        <v>803</v>
      </c>
      <c r="F111" s="323" t="s">
        <v>1866</v>
      </c>
      <c r="G111" s="323" t="s">
        <v>844</v>
      </c>
      <c r="H111" s="323" t="s">
        <v>1930</v>
      </c>
    </row>
    <row r="112" spans="1:8" ht="30">
      <c r="A112" s="323" t="s">
        <v>1975</v>
      </c>
      <c r="B112" s="323" t="s">
        <v>1929</v>
      </c>
      <c r="C112" s="323" t="s">
        <v>1050</v>
      </c>
      <c r="D112" s="323" t="s">
        <v>1052</v>
      </c>
      <c r="E112" s="323" t="s">
        <v>803</v>
      </c>
      <c r="F112" s="323" t="s">
        <v>1866</v>
      </c>
      <c r="G112" s="323" t="s">
        <v>844</v>
      </c>
      <c r="H112" s="323" t="s">
        <v>1930</v>
      </c>
    </row>
    <row r="113" spans="1:8" ht="30">
      <c r="A113" s="323" t="s">
        <v>1976</v>
      </c>
      <c r="B113" s="323" t="s">
        <v>1929</v>
      </c>
      <c r="C113" s="323" t="s">
        <v>1053</v>
      </c>
      <c r="D113" s="323" t="s">
        <v>1055</v>
      </c>
      <c r="E113" s="323" t="s">
        <v>803</v>
      </c>
      <c r="F113" s="323" t="s">
        <v>1866</v>
      </c>
      <c r="G113" s="323" t="s">
        <v>844</v>
      </c>
      <c r="H113" s="323" t="s">
        <v>1930</v>
      </c>
    </row>
    <row r="114" spans="1:8" ht="30">
      <c r="A114" s="323" t="s">
        <v>1977</v>
      </c>
      <c r="B114" s="323" t="s">
        <v>1929</v>
      </c>
      <c r="C114" s="323" t="s">
        <v>1056</v>
      </c>
      <c r="D114" s="323" t="s">
        <v>1057</v>
      </c>
      <c r="E114" s="323" t="s">
        <v>803</v>
      </c>
      <c r="F114" s="323" t="s">
        <v>1866</v>
      </c>
      <c r="G114" s="323" t="s">
        <v>844</v>
      </c>
      <c r="H114" s="323" t="s">
        <v>1930</v>
      </c>
    </row>
    <row r="115" spans="1:8" ht="30">
      <c r="A115" s="323" t="s">
        <v>1978</v>
      </c>
      <c r="B115" s="323" t="s">
        <v>1929</v>
      </c>
      <c r="C115" s="323" t="s">
        <v>1064</v>
      </c>
      <c r="D115" s="323" t="s">
        <v>1066</v>
      </c>
      <c r="E115" s="323" t="s">
        <v>803</v>
      </c>
      <c r="F115" s="323" t="s">
        <v>1866</v>
      </c>
      <c r="G115" s="323" t="s">
        <v>844</v>
      </c>
      <c r="H115" s="323" t="s">
        <v>1930</v>
      </c>
    </row>
    <row r="116" spans="1:8" ht="30">
      <c r="A116" s="323" t="s">
        <v>1979</v>
      </c>
      <c r="B116" s="323" t="s">
        <v>1929</v>
      </c>
      <c r="C116" s="323" t="s">
        <v>1071</v>
      </c>
      <c r="D116" s="323" t="s">
        <v>1073</v>
      </c>
      <c r="E116" s="323" t="s">
        <v>803</v>
      </c>
      <c r="F116" s="323" t="s">
        <v>1866</v>
      </c>
      <c r="G116" s="323" t="s">
        <v>844</v>
      </c>
      <c r="H116" s="323" t="s">
        <v>1930</v>
      </c>
    </row>
    <row r="117" spans="1:8" ht="30">
      <c r="A117" s="323" t="s">
        <v>1980</v>
      </c>
      <c r="B117" s="323" t="s">
        <v>1929</v>
      </c>
      <c r="C117" s="323" t="s">
        <v>1074</v>
      </c>
      <c r="D117" s="323" t="s">
        <v>1076</v>
      </c>
      <c r="E117" s="323" t="s">
        <v>803</v>
      </c>
      <c r="F117" s="323" t="s">
        <v>1866</v>
      </c>
      <c r="G117" s="323" t="s">
        <v>844</v>
      </c>
      <c r="H117" s="323" t="s">
        <v>1930</v>
      </c>
    </row>
    <row r="118" spans="1:8" ht="30">
      <c r="A118" s="323" t="s">
        <v>1981</v>
      </c>
      <c r="B118" s="323" t="s">
        <v>1929</v>
      </c>
      <c r="C118" s="323" t="s">
        <v>1081</v>
      </c>
      <c r="D118" s="323" t="s">
        <v>1083</v>
      </c>
      <c r="E118" s="323" t="s">
        <v>803</v>
      </c>
      <c r="F118" s="323" t="s">
        <v>1866</v>
      </c>
      <c r="G118" s="323" t="s">
        <v>844</v>
      </c>
      <c r="H118" s="323" t="s">
        <v>1930</v>
      </c>
    </row>
    <row r="119" spans="1:8" ht="30">
      <c r="A119" s="323" t="s">
        <v>1982</v>
      </c>
      <c r="B119" s="323" t="s">
        <v>1929</v>
      </c>
      <c r="C119" s="323" t="s">
        <v>1084</v>
      </c>
      <c r="D119" s="323" t="s">
        <v>1086</v>
      </c>
      <c r="E119" s="323" t="s">
        <v>803</v>
      </c>
      <c r="F119" s="323" t="s">
        <v>1866</v>
      </c>
      <c r="G119" s="323" t="s">
        <v>844</v>
      </c>
      <c r="H119" s="323" t="s">
        <v>1930</v>
      </c>
    </row>
    <row r="120" spans="1:8" ht="30">
      <c r="A120" s="323" t="s">
        <v>1983</v>
      </c>
      <c r="B120" s="323" t="s">
        <v>1929</v>
      </c>
      <c r="C120" s="323" t="s">
        <v>1087</v>
      </c>
      <c r="D120" s="323" t="s">
        <v>1089</v>
      </c>
      <c r="E120" s="323" t="s">
        <v>803</v>
      </c>
      <c r="F120" s="323" t="s">
        <v>1866</v>
      </c>
      <c r="G120" s="323" t="s">
        <v>844</v>
      </c>
      <c r="H120" s="323" t="s">
        <v>1930</v>
      </c>
    </row>
    <row r="121" spans="1:8" ht="30">
      <c r="A121" s="323" t="s">
        <v>1984</v>
      </c>
      <c r="B121" s="323" t="s">
        <v>1929</v>
      </c>
      <c r="C121" s="323" t="s">
        <v>1090</v>
      </c>
      <c r="D121" s="323" t="s">
        <v>1092</v>
      </c>
      <c r="E121" s="323" t="s">
        <v>803</v>
      </c>
      <c r="F121" s="323" t="s">
        <v>1866</v>
      </c>
      <c r="G121" s="323" t="s">
        <v>844</v>
      </c>
      <c r="H121" s="323" t="s">
        <v>1930</v>
      </c>
    </row>
    <row r="122" spans="1:8" ht="30">
      <c r="A122" s="323" t="s">
        <v>1985</v>
      </c>
      <c r="B122" s="323" t="s">
        <v>1929</v>
      </c>
      <c r="C122" s="323" t="s">
        <v>1096</v>
      </c>
      <c r="D122" s="323" t="s">
        <v>1098</v>
      </c>
      <c r="E122" s="323" t="s">
        <v>803</v>
      </c>
      <c r="F122" s="323" t="s">
        <v>1866</v>
      </c>
      <c r="G122" s="323" t="s">
        <v>844</v>
      </c>
      <c r="H122" s="323" t="s">
        <v>1930</v>
      </c>
    </row>
    <row r="123" spans="1:8" ht="30">
      <c r="A123" s="323" t="s">
        <v>1986</v>
      </c>
      <c r="B123" s="323" t="s">
        <v>1929</v>
      </c>
      <c r="C123" s="323" t="s">
        <v>1099</v>
      </c>
      <c r="D123" s="323" t="s">
        <v>1101</v>
      </c>
      <c r="E123" s="323" t="s">
        <v>803</v>
      </c>
      <c r="F123" s="323" t="s">
        <v>1866</v>
      </c>
      <c r="G123" s="323" t="s">
        <v>844</v>
      </c>
      <c r="H123" s="323" t="s">
        <v>1930</v>
      </c>
    </row>
    <row r="124" spans="1:8" ht="30">
      <c r="A124" s="323" t="s">
        <v>1987</v>
      </c>
      <c r="B124" s="323" t="s">
        <v>1929</v>
      </c>
      <c r="C124" s="323" t="s">
        <v>1105</v>
      </c>
      <c r="D124" s="323" t="s">
        <v>1107</v>
      </c>
      <c r="E124" s="323" t="s">
        <v>803</v>
      </c>
      <c r="F124" s="323" t="s">
        <v>1866</v>
      </c>
      <c r="G124" s="323" t="s">
        <v>844</v>
      </c>
      <c r="H124" s="323" t="s">
        <v>1930</v>
      </c>
    </row>
    <row r="125" spans="1:8" ht="30">
      <c r="A125" s="323" t="s">
        <v>1988</v>
      </c>
      <c r="B125" s="323" t="s">
        <v>1929</v>
      </c>
      <c r="C125" s="323" t="s">
        <v>1108</v>
      </c>
      <c r="D125" s="323" t="s">
        <v>1110</v>
      </c>
      <c r="E125" s="323" t="s">
        <v>803</v>
      </c>
      <c r="F125" s="323" t="s">
        <v>1866</v>
      </c>
      <c r="G125" s="323" t="s">
        <v>844</v>
      </c>
      <c r="H125" s="323" t="s">
        <v>1930</v>
      </c>
    </row>
    <row r="126" spans="1:8" ht="30">
      <c r="A126" s="323" t="s">
        <v>1989</v>
      </c>
      <c r="B126" s="323" t="s">
        <v>1929</v>
      </c>
      <c r="C126" s="323" t="s">
        <v>1111</v>
      </c>
      <c r="D126" s="323" t="s">
        <v>1112</v>
      </c>
      <c r="E126" s="323" t="s">
        <v>803</v>
      </c>
      <c r="F126" s="323" t="s">
        <v>1866</v>
      </c>
      <c r="G126" s="323" t="s">
        <v>844</v>
      </c>
      <c r="H126" s="323" t="s">
        <v>1930</v>
      </c>
    </row>
    <row r="127" spans="1:8" ht="30">
      <c r="A127" s="323" t="s">
        <v>1990</v>
      </c>
      <c r="B127" s="323" t="s">
        <v>1929</v>
      </c>
      <c r="C127" s="323" t="s">
        <v>1117</v>
      </c>
      <c r="D127" s="323" t="s">
        <v>1119</v>
      </c>
      <c r="E127" s="323" t="s">
        <v>803</v>
      </c>
      <c r="F127" s="323" t="s">
        <v>1866</v>
      </c>
      <c r="G127" s="323" t="s">
        <v>844</v>
      </c>
      <c r="H127" s="323" t="s">
        <v>1930</v>
      </c>
    </row>
    <row r="128" spans="1:8" ht="30">
      <c r="A128" s="323" t="s">
        <v>1991</v>
      </c>
      <c r="B128" s="323" t="s">
        <v>1929</v>
      </c>
      <c r="C128" s="323" t="s">
        <v>1123</v>
      </c>
      <c r="D128" s="323" t="s">
        <v>1125</v>
      </c>
      <c r="E128" s="323" t="s">
        <v>803</v>
      </c>
      <c r="F128" s="323" t="s">
        <v>1866</v>
      </c>
      <c r="G128" s="323" t="s">
        <v>844</v>
      </c>
      <c r="H128" s="323" t="s">
        <v>1930</v>
      </c>
    </row>
    <row r="129" spans="1:8" ht="30">
      <c r="A129" s="323" t="s">
        <v>1992</v>
      </c>
      <c r="B129" s="323" t="s">
        <v>1929</v>
      </c>
      <c r="C129" s="323" t="s">
        <v>1126</v>
      </c>
      <c r="D129" s="323" t="s">
        <v>1128</v>
      </c>
      <c r="E129" s="323" t="s">
        <v>803</v>
      </c>
      <c r="F129" s="323" t="s">
        <v>1866</v>
      </c>
      <c r="G129" s="323" t="s">
        <v>844</v>
      </c>
      <c r="H129" s="323" t="s">
        <v>1930</v>
      </c>
    </row>
    <row r="130" spans="1:8" ht="30">
      <c r="A130" s="323" t="s">
        <v>1993</v>
      </c>
      <c r="B130" s="323" t="s">
        <v>1929</v>
      </c>
      <c r="C130" s="323" t="s">
        <v>1132</v>
      </c>
      <c r="D130" s="323" t="s">
        <v>1134</v>
      </c>
      <c r="E130" s="323" t="s">
        <v>803</v>
      </c>
      <c r="F130" s="323" t="s">
        <v>1866</v>
      </c>
      <c r="G130" s="323" t="s">
        <v>844</v>
      </c>
      <c r="H130" s="323" t="s">
        <v>1930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7"/>
  <sheetViews>
    <sheetView showGridLines="0" workbookViewId="0"/>
  </sheetViews>
  <sheetFormatPr baseColWidth="10" defaultColWidth="9.140625" defaultRowHeight="15"/>
  <cols>
    <col min="1" max="14" width="13" customWidth="1"/>
  </cols>
  <sheetData>
    <row r="1" spans="1:14" ht="33.950000000000003" customHeight="1">
      <c r="A1" s="428" t="s">
        <v>1994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</row>
    <row r="2" spans="1:14" ht="30" customHeight="1">
      <c r="A2" s="429" t="s">
        <v>1995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</row>
    <row r="4" spans="1:14" ht="15.75">
      <c r="A4" s="325" t="s">
        <v>1996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</row>
    <row r="6" spans="1:14">
      <c r="A6" s="430" t="s">
        <v>1997</v>
      </c>
      <c r="B6" s="430"/>
      <c r="D6" s="430" t="s">
        <v>1998</v>
      </c>
      <c r="E6" s="430"/>
      <c r="G6" s="430" t="s">
        <v>1999</v>
      </c>
      <c r="H6" s="430"/>
      <c r="J6" s="430" t="s">
        <v>2000</v>
      </c>
      <c r="K6" s="430"/>
    </row>
    <row r="7" spans="1:14" ht="24">
      <c r="A7" s="431">
        <v>99</v>
      </c>
      <c r="B7" s="431"/>
      <c r="D7" s="431">
        <v>111</v>
      </c>
      <c r="E7" s="431"/>
      <c r="G7" s="431">
        <v>423</v>
      </c>
      <c r="H7" s="431"/>
      <c r="J7" s="431">
        <v>111</v>
      </c>
      <c r="K7" s="431"/>
    </row>
    <row r="10" spans="1:14">
      <c r="A10" s="430" t="s">
        <v>2001</v>
      </c>
      <c r="B10" s="430"/>
      <c r="D10" s="430" t="s">
        <v>2002</v>
      </c>
      <c r="E10" s="430"/>
      <c r="G10" s="430" t="s">
        <v>2003</v>
      </c>
      <c r="H10" s="430"/>
      <c r="J10" s="430" t="s">
        <v>2004</v>
      </c>
      <c r="K10" s="430"/>
    </row>
    <row r="11" spans="1:14" ht="24">
      <c r="A11" s="431">
        <v>114</v>
      </c>
      <c r="B11" s="431"/>
      <c r="D11" s="431">
        <v>45</v>
      </c>
      <c r="E11" s="431"/>
      <c r="G11" s="432">
        <v>0.39473684210526316</v>
      </c>
      <c r="H11" s="433"/>
      <c r="J11" s="431">
        <v>126</v>
      </c>
      <c r="K11" s="431"/>
    </row>
    <row r="15" spans="1:14">
      <c r="A15" s="321" t="s">
        <v>1586</v>
      </c>
      <c r="B15" s="321" t="s">
        <v>2005</v>
      </c>
    </row>
    <row r="16" spans="1:14">
      <c r="A16" t="s">
        <v>2006</v>
      </c>
      <c r="B16">
        <v>45</v>
      </c>
    </row>
    <row r="17" spans="1:2">
      <c r="A17" t="s">
        <v>2007</v>
      </c>
      <c r="B17">
        <v>69</v>
      </c>
    </row>
    <row r="18" spans="1:2">
      <c r="A18" t="s">
        <v>2008</v>
      </c>
      <c r="B18">
        <v>0</v>
      </c>
    </row>
    <row r="19" spans="1:2">
      <c r="A19" t="s">
        <v>2009</v>
      </c>
      <c r="B19">
        <v>0</v>
      </c>
    </row>
    <row r="20" spans="1:2">
      <c r="A20" t="s">
        <v>2010</v>
      </c>
      <c r="B20">
        <v>0</v>
      </c>
    </row>
    <row r="33" spans="1:14">
      <c r="A33" s="321" t="s">
        <v>2011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</row>
    <row r="34" spans="1:14" ht="24" customHeight="1">
      <c r="A34" t="s">
        <v>2012</v>
      </c>
      <c r="B34" s="434" t="s">
        <v>2013</v>
      </c>
      <c r="C34" s="434"/>
      <c r="D34" s="434"/>
      <c r="E34" s="434"/>
      <c r="F34" s="434"/>
      <c r="G34" s="434"/>
      <c r="H34" s="434"/>
      <c r="I34" s="434"/>
      <c r="J34" s="434"/>
      <c r="K34" s="434"/>
      <c r="L34" s="434"/>
      <c r="M34" s="434"/>
      <c r="N34" s="434"/>
    </row>
    <row r="35" spans="1:14" ht="24" customHeight="1">
      <c r="A35" t="s">
        <v>2014</v>
      </c>
      <c r="B35" s="434" t="s">
        <v>2015</v>
      </c>
      <c r="C35" s="434"/>
      <c r="D35" s="434"/>
      <c r="E35" s="434"/>
      <c r="F35" s="434"/>
      <c r="G35" s="434"/>
      <c r="H35" s="434"/>
      <c r="I35" s="434"/>
      <c r="J35" s="434"/>
      <c r="K35" s="434"/>
      <c r="L35" s="434"/>
      <c r="M35" s="434"/>
      <c r="N35" s="434"/>
    </row>
    <row r="36" spans="1:14" ht="24" customHeight="1">
      <c r="A36" t="s">
        <v>2016</v>
      </c>
      <c r="B36" s="434" t="s">
        <v>2017</v>
      </c>
      <c r="C36" s="434"/>
      <c r="D36" s="434"/>
      <c r="E36" s="434"/>
      <c r="F36" s="434"/>
      <c r="G36" s="434"/>
      <c r="H36" s="434"/>
      <c r="I36" s="434"/>
      <c r="J36" s="434"/>
      <c r="K36" s="434"/>
      <c r="L36" s="434"/>
      <c r="M36" s="434"/>
      <c r="N36" s="434"/>
    </row>
    <row r="37" spans="1:14" ht="24" customHeight="1">
      <c r="A37" t="s">
        <v>2018</v>
      </c>
      <c r="B37" s="434" t="s">
        <v>2019</v>
      </c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</row>
  </sheetData>
  <mergeCells count="22">
    <mergeCell ref="B37:N37"/>
    <mergeCell ref="J10:K10"/>
    <mergeCell ref="J11:K11"/>
    <mergeCell ref="B34:N34"/>
    <mergeCell ref="B35:N35"/>
    <mergeCell ref="B36:N36"/>
    <mergeCell ref="A10:B10"/>
    <mergeCell ref="A11:B11"/>
    <mergeCell ref="D10:E10"/>
    <mergeCell ref="D11:E11"/>
    <mergeCell ref="G10:H10"/>
    <mergeCell ref="G11:H11"/>
    <mergeCell ref="A1:N1"/>
    <mergeCell ref="A2:N2"/>
    <mergeCell ref="A6:B6"/>
    <mergeCell ref="A7:B7"/>
    <mergeCell ref="D6:E6"/>
    <mergeCell ref="D7:E7"/>
    <mergeCell ref="G6:H6"/>
    <mergeCell ref="G7:H7"/>
    <mergeCell ref="J6:K6"/>
    <mergeCell ref="J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Proyecto Actualizacion</vt:lpstr>
      <vt:lpstr>cctv</vt:lpstr>
      <vt:lpstr>Alarmas OSZFORD</vt:lpstr>
      <vt:lpstr>Vehiculos</vt:lpstr>
      <vt:lpstr>Catalogos</vt:lpstr>
      <vt:lpstr>Ubicaciones</vt:lpstr>
      <vt:lpstr>Dispositivos</vt:lpstr>
      <vt:lpstr>DSS_Dispositivos</vt:lpstr>
      <vt:lpstr>Alarmas</vt:lpstr>
      <vt:lpstr>Vehiculos_MVR</vt:lpstr>
      <vt:lpstr>Proyecto_Estructurado</vt:lpstr>
      <vt:lpstr>Calidad_Datos</vt:lpstr>
      <vt:lpstr>00_Resumen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Coordinador Seguridad Perimetral</cp:lastModifiedBy>
  <dcterms:modified xsi:type="dcterms:W3CDTF">2026-08-27T16:53:21Z</dcterms:modified>
</cp:coreProperties>
</file>