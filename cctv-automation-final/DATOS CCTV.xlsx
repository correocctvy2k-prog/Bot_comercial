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than.beltran\.gemini\antigravity\playground\final-skylab\cctv-automation-final\"/>
    </mc:Choice>
  </mc:AlternateContent>
  <xr:revisionPtr revIDLastSave="0" documentId="8_{A034A896-0C31-4665-BCE8-FA63B3CD45F2}" xr6:coauthVersionLast="47" xr6:coauthVersionMax="47" xr10:uidLastSave="{00000000-0000-0000-0000-000000000000}"/>
  <bookViews>
    <workbookView xWindow="-23970" yWindow="210" windowWidth="22440" windowHeight="14445" activeTab="3" xr2:uid="{1F7E0696-02A5-4274-BAF5-13B89C535D99}"/>
  </bookViews>
  <sheets>
    <sheet name="Proyecto Actualizacion" sheetId="1" r:id="rId1"/>
    <sheet name="cctv" sheetId="2" r:id="rId2"/>
    <sheet name="Alarmas OSZFORD" sheetId="3" r:id="rId3"/>
    <sheet name="Vehicul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4" i="2" l="1"/>
  <c r="S3" i="2" s="1"/>
  <c r="L123" i="2"/>
  <c r="R46" i="2"/>
  <c r="Q5" i="2"/>
  <c r="T3" i="2"/>
  <c r="R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tc={FDEC246B-18BB-46AE-929E-966A8DF2660B}</author>
    <author>tc={04E453D5-E3F8-4DCA-A1AF-4C5CBD8AFF9C}</author>
    <author>tc={97DBDFBD-D912-4489-AB07-85AB1C74E451}</author>
    <author>tc={5E4C55AF-F39D-47FB-A294-AA4594BE0A4E}</author>
    <author>tc={B9B3291A-508D-4297-B539-C09A647D54B1}</author>
    <author>tc={595B6062-D7AB-476D-8337-AC00BB8AD14C}</author>
    <author>tc={7F348075-5AB6-421E-89DE-3C5AB197D2C9}</author>
    <author>tc={3B62336A-263D-4BB4-A514-FD1BFD6558C0}</author>
    <author>tc={EE1A7334-EA05-4E35-9128-69CB2772E078}</author>
    <author>tc={3A24360C-DB2D-4CAF-B25F-55C99BC0CDEB}</author>
    <author>tc={83A1A6A5-12CA-4170-830A-0DCC3743E7AA}</author>
    <author>tc={77E876C5-5B17-46CB-ADB4-26935E438405}</author>
    <author>tc={8FDA1A0E-A01C-4E2E-A90B-1621A89C972E}</author>
    <author>tc={1E2BF0D5-3424-42F8-9DD1-2CCB6A1F3C65}</author>
    <author>tc={F408BB7F-D8A0-4677-B837-63EF7BE05293}</author>
    <author>tc={231DCF84-8481-4D33-A817-1A58CD1394E3}</author>
    <author>tc={A56338A6-D059-4985-A78E-FA6CDEA9E5A8}</author>
    <author>tc={8A264A1D-8BEB-419B-A1CE-E0EBFE873C1E}</author>
    <author>tc={E2A3FB98-3946-44EC-A47A-32F223422924}</author>
    <author>tc={DCCDAF73-943F-4F35-B277-6C3578C82F54}</author>
    <author>tc={7984C904-BC48-4966-AD43-D39F1F59CA41}</author>
    <author>tc={89F02A67-2D4A-44A5-9DAC-E865FF5BCE7C}</author>
    <author>tc={960BEE91-1E84-4B06-81D6-3A15290DC610}</author>
    <author>tc={B36B0D66-A116-4936-A54E-F29C1193679D}</author>
    <author>tc={5580D3AD-AF41-42D0-AFC5-25377B36D095}</author>
    <author>tc={517D4138-D9A4-470B-9999-2EA2E04F11B3}</author>
    <author>tc={F442DD85-ADBC-442A-8683-C20486CA9B89}</author>
    <author>tc={760C5696-0965-4546-993C-4CC8F70FD95E}</author>
    <author>tc={47F6A378-EF54-45C6-A399-6EDACAB72F47}</author>
    <author>tc={9B139033-F3F6-49A7-8D31-5F8326A31140}</author>
    <author>tc={C686A18B-3E15-400B-8A6C-E147D218230D}</author>
    <author>tc={F628022A-8384-49F6-AD65-B42713F0260D}</author>
    <author>tc={F741F470-3E67-4133-B119-0575ADBB34B5}</author>
    <author>tc={93A7F511-C378-4502-B0E8-ADEDC989BEF0}</author>
    <author>tc={7C72A915-77BD-43EA-B48F-4BDCBEB1C542}</author>
    <author>tc={E49C69CB-9F5D-4A58-B50D-6065DA1AA7B0}</author>
    <author>tc={510918D6-51C5-43FA-BC34-022A6325C8A2}</author>
    <author>tc={6C7B6C1F-3965-4142-BF16-D475693ED5A9}</author>
    <author>tc={8E3820DE-ABCE-4FE3-95A1-C1DB0B92DB7A}</author>
    <author>tc={C4FC9099-1268-4570-906C-44FF417FE06F}</author>
    <author>tc={C892BD64-99B7-4815-A225-0580046B4928}</author>
    <author>tc={A839703F-D33C-4271-827A-DB08ADB0910C}</author>
    <author>tc={0A46F162-2667-4495-B0AB-7FE5B2F9B545}</author>
    <author>tc={9719EFF6-4708-4AB2-BA67-D8267B66E5E5}</author>
    <author>tc={CBA1DD29-825C-4396-AE0D-4D4207A903FE}</author>
    <author>tc={3AA265A2-38DC-4728-86E4-64B27C8CFD63}</author>
    <author>tc={C5C2D776-0C9A-48EA-A7D5-DF4DE72249A3}</author>
    <author>tc={212C2C0A-FE35-4B46-B942-39723C080E81}</author>
    <author>tc={4B5F5FFE-372D-42CA-A6DF-9E9C3C232AE2}</author>
    <author>tc={69DDC1A4-B779-4662-A096-A3A2EEAD50CA}</author>
    <author>tc={484480BB-6180-424F-8C5E-A4CA24CE56ED}</author>
    <author>tc={0A4C8231-CED0-40E9-B3D4-FF85FC32D676}</author>
    <author>tc={2E6AF32D-AF79-4E21-9B2A-A040D988594E}</author>
    <author>tc={A4728F5F-03EE-42D4-B49A-1F18AB8C6E78}</author>
    <author>tc={9573AEF6-040F-49CE-A088-EF91ACBADE43}</author>
    <author>tc={FBEBBF1F-BDA9-4858-9662-E9119C4F2FE0}</author>
    <author>tc={9BAA599A-9750-4707-BC57-81AAC128B47B}</author>
    <author>tc={204B8276-5DA1-4B3F-9466-4B0B72A9EF60}</author>
    <author>tc={14B77673-0E9A-481C-B34A-98FD5E99B784}</author>
    <author>tc={BE19E7EB-F6AA-43F3-9CE6-C5D7CBD05D07}</author>
    <author>tc={5A41B4F3-EDE6-4D25-AFE0-EE1C4C43FE11}</author>
    <author>tc={31BB96DE-E4C0-43E6-AD09-613BEAD2885B}</author>
  </authors>
  <commentList>
    <comment ref="D4" authorId="0" shapeId="0" xr:uid="{FDEC246B-18BB-46AE-929E-966A8DF266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4" authorId="1" shapeId="0" xr:uid="{04E453D5-E3F8-4DCA-A1AF-4C5CBD8AFF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C5" authorId="2" shapeId="0" xr:uid="{97DBDFBD-D912-4489-AB07-85AB1C74E4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instalaron los equipos retirados del punto Mercedes I</t>
      </text>
    </comment>
    <comment ref="D5" authorId="3" shapeId="0" xr:uid="{5E4C55AF-F39D-47FB-A294-AA4594BE0A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5" authorId="4" shapeId="0" xr:uid="{B9B3291A-508D-4297-B539-C09A647D54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C6" authorId="5" shapeId="0" xr:uid="{595B6062-D7AB-476D-8337-AC00BB8AD1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instaló con los equipos desmontados del punto Droguería Prado </t>
      </text>
    </comment>
    <comment ref="D6" authorId="6" shapeId="0" xr:uid="{7F348075-5AB6-421E-89DE-3C5AB197D2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6" authorId="7" shapeId="0" xr:uid="{3B62336A-263D-4BB4-A514-FD1BFD6558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B7" authorId="8" shapeId="0" xr:uid="{EE1A7334-EA05-4E35-9128-69CB2772E0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realizó instalación de CCTV con IA</t>
      </text>
    </comment>
    <comment ref="D7" authorId="9" shapeId="0" xr:uid="{3A24360C-DB2D-4CAF-B25F-55C99BC0CD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7" authorId="10" shapeId="0" xr:uid="{83A1A6A5-12CA-4170-830A-0DCC3743E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8" authorId="11" shapeId="0" xr:uid="{77E876C5-5B17-46CB-ADB4-26935E4384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8" authorId="12" shapeId="0" xr:uid="{8FDA1A0E-A01C-4E2E-A90B-1621A89C9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9" authorId="13" shapeId="0" xr:uid="{1E2BF0D5-3424-42F8-9DD1-2CCB6A1F3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9" authorId="14" shapeId="0" xr:uid="{F408BB7F-D8A0-4677-B837-63EF7BE052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0" authorId="15" shapeId="0" xr:uid="{231DCF84-8481-4D33-A817-1A58CD1394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0" authorId="16" shapeId="0" xr:uid="{A56338A6-D059-4985-A78E-FA6CDEA9E5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11" authorId="17" shapeId="0" xr:uid="{8A264A1D-8BEB-419B-A1CE-E0EBFE873C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4 Cam 2441 EP SMD, UPS, REGULADOR Y RACK</t>
      </text>
    </comment>
    <comment ref="G11" authorId="18" shapeId="0" xr:uid="{E2A3FB98-3946-44EC-A47A-32F2234229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12" authorId="19" shapeId="0" xr:uid="{DCCDAF73-943F-4F35-B277-6C3578C82F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2" authorId="20" shapeId="0" xr:uid="{7984C904-BC48-4966-AD43-D39F1F59CA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13" authorId="21" shapeId="0" xr:uid="{89F02A67-2D4A-44A5-9DAC-E865FF5BCE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3" authorId="22" shapeId="0" xr:uid="{960BEE91-1E84-4B06-81D6-3A15290DC6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4" authorId="23" shapeId="0" xr:uid="{B36B0D66-A116-4936-A54E-F29C119367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4" authorId="24" shapeId="0" xr:uid="{5580D3AD-AF41-42D0-AFC5-25377B36D0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5" authorId="25" shapeId="0" xr:uid="{517D4138-D9A4-470B-9999-2EA2E04F11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15" authorId="26" shapeId="0" xr:uid="{F442DD85-ADBC-442A-8683-C20486CA9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6" authorId="27" shapeId="0" xr:uid="{760C5696-0965-4546-993C-4CC8F70FD9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16" authorId="28" shapeId="0" xr:uid="{47F6A378-EF54-45C6-A399-6EDACAB72F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7" authorId="29" shapeId="0" xr:uid="{9B139033-F3F6-49A7-8D31-5F8326A311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17" authorId="30" shapeId="0" xr:uid="{C686A18B-3E15-400B-8A6C-E147D21823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18" authorId="31" shapeId="0" xr:uid="{F628022A-8384-49F6-AD65-B42713F026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18" authorId="32" shapeId="0" xr:uid="{F741F470-3E67-4133-B119-0575ADBB34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C19" authorId="33" shapeId="0" xr:uid="{93A7F511-C378-4502-B0E8-ADEDC989BE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instalaron los equipos desmontados del punto 19 con 37 </t>
      </text>
    </comment>
    <comment ref="D19" authorId="34" shapeId="0" xr:uid="{7C72A915-77BD-43EA-B48F-4BDCBEB1C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20" authorId="35" shapeId="0" xr:uid="{E49C69CB-9F5D-4A58-B50D-6065DA1AA7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 Cam3441RP, 1 Cam 2441 EP SMD</t>
      </text>
    </comment>
    <comment ref="G20" authorId="36" shapeId="0" xr:uid="{510918D6-51C5-43FA-BC34-022A6325C8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22" authorId="37" shapeId="0" xr:uid="{6C7B6C1F-3965-4142-BF16-D475693ED5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22" authorId="38" shapeId="0" xr:uid="{8E3820DE-ABCE-4FE3-95A1-C1DB0B92DB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detección de rostros, UPS y Rack</t>
      </text>
    </comment>
    <comment ref="D24" authorId="39" shapeId="0" xr:uid="{C4FC9099-1268-4570-906C-44FF417FE0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4 Cam 2441 EP</t>
      </text>
    </comment>
    <comment ref="G24" authorId="40" shapeId="0" xr:uid="{C892BD64-99B7-4815-A225-0580046B49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26" authorId="41" shapeId="0" xr:uid="{A839703F-D33C-4271-827A-DB08ADB09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8 Cam 2441 EP</t>
      </text>
    </comment>
    <comment ref="G26" authorId="42" shapeId="0" xr:uid="{0A46F162-2667-4495-B0AB-7FE5B2F9B5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27" authorId="43" shapeId="0" xr:uid="{9719EFF6-4708-4AB2-BA67-D8267B66E5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27" authorId="44" shapeId="0" xr:uid="{CBA1DD29-825C-4396-AE0D-4D4207A903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29" authorId="45" shapeId="0" xr:uid="{3AA265A2-38DC-4728-86E4-64B27C8CFD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</t>
      </text>
    </comment>
    <comment ref="G29" authorId="46" shapeId="0" xr:uid="{C5C2D776-0C9A-48EA-A7D5-DF4DE72249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G30" authorId="47" shapeId="0" xr:uid="{212C2C0A-FE35-4B46-B942-39723C080E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31" authorId="48" shapeId="0" xr:uid="{4B5F5FFE-372D-42CA-A6DF-9E9C3C232A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8 Cam 2441 EP</t>
      </text>
    </comment>
    <comment ref="D32" authorId="49" shapeId="0" xr:uid="{69DDC1A4-B779-4662-A096-A3A2EEAD50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2 Cam 2441 EP SMD, UPS, REGULADOR</t>
      </text>
    </comment>
    <comment ref="G32" authorId="50" shapeId="0" xr:uid="{484480BB-6180-424F-8C5E-A4CA24CE56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33" authorId="51" shapeId="0" xr:uid="{0A4C8231-CED0-40E9-B3D4-FF85FC32D6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G34" authorId="52" shapeId="0" xr:uid="{2E6AF32D-AF79-4E21-9B2A-A040D9885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 SMD, UPS y Rack</t>
      </text>
    </comment>
    <comment ref="D35" authorId="53" shapeId="0" xr:uid="{A4728F5F-03EE-42D4-B49A-1F18AB8C6E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Switch POE, 10 Cam 2441 EP</t>
      </text>
    </comment>
    <comment ref="D36" authorId="54" shapeId="0" xr:uid="{9573AEF6-040F-49CE-A088-EF91ACBADE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37" authorId="55" shapeId="0" xr:uid="{FBEBBF1F-BDA9-4858-9662-E9119C4F2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38" authorId="56" shapeId="0" xr:uid="{9BAA599A-9750-4707-BC57-81AAC128B4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39" authorId="57" shapeId="0" xr:uid="{204B8276-5DA1-4B3F-9466-4B0B72A9EF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41" authorId="58" shapeId="0" xr:uid="{14B77673-0E9A-481C-B34A-98FD5E99B7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Cámara IA, UPS y Rack</t>
      </text>
    </comment>
    <comment ref="D42" authorId="59" shapeId="0" xr:uid="{BE19E7EB-F6AA-43F3-9CE6-C5D7CBD05D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  <comment ref="D43" authorId="60" shapeId="0" xr:uid="{5A41B4F3-EDE6-4D25-AFE0-EE1C4C43FE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</t>
      </text>
    </comment>
    <comment ref="D44" authorId="61" shapeId="0" xr:uid="{31BB96DE-E4C0-43E6-AD09-613BEAD288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NVR EI, DD 4TB, Switch POE, 1 Cam3441RP, 1 Cam 2441 EP SMD, UPS, REGULADOR Y RACK</t>
      </text>
    </comment>
  </commentList>
</comments>
</file>

<file path=xl/sharedStrings.xml><?xml version="1.0" encoding="utf-8"?>
<sst xmlns="http://schemas.openxmlformats.org/spreadsheetml/2006/main" count="1240" uniqueCount="782">
  <si>
    <t>Puntos alto valor CCTV IA (SportBook)</t>
  </si>
  <si>
    <t>Punto Para Traslado de Equipos</t>
  </si>
  <si>
    <t>INVERSION</t>
  </si>
  <si>
    <t>Puntos alto valor CCTV IA</t>
  </si>
  <si>
    <t>PUNTOS</t>
  </si>
  <si>
    <t>PUNTOS Y OFICINAS SISTEMA CCTV</t>
  </si>
  <si>
    <t>PALMIRA</t>
  </si>
  <si>
    <t>La Cigarra</t>
  </si>
  <si>
    <t>Berlin - Palmira</t>
  </si>
  <si>
    <t>Sembrador Plaza - Palmira</t>
  </si>
  <si>
    <t>ROZO</t>
  </si>
  <si>
    <t>Parque Prado</t>
  </si>
  <si>
    <t>Caicelandia - Palmira</t>
  </si>
  <si>
    <t>Maranatha - Palmira</t>
  </si>
  <si>
    <t>AMAIME</t>
  </si>
  <si>
    <t>Drogueria Prado II</t>
  </si>
  <si>
    <t>Uribe - Palmira</t>
  </si>
  <si>
    <t>Benedicta I - Palmira</t>
  </si>
  <si>
    <t>FLORIDA</t>
  </si>
  <si>
    <t>19 con 37 II (Instalación nueva)</t>
  </si>
  <si>
    <t>Estonia - Palmira</t>
  </si>
  <si>
    <t>PRADERA</t>
  </si>
  <si>
    <t>Colombia Taxis</t>
  </si>
  <si>
    <t>Zamorano Oficina - Palmira</t>
  </si>
  <si>
    <t>Alameda III - Palmira</t>
  </si>
  <si>
    <t>CANDELARIA</t>
  </si>
  <si>
    <t>Mercedes II</t>
  </si>
  <si>
    <t>Rivera Escobar - Palmira</t>
  </si>
  <si>
    <t>Simon Bolivar - Palmira</t>
  </si>
  <si>
    <t>OCCIDENTE</t>
  </si>
  <si>
    <t>Cementerio</t>
  </si>
  <si>
    <t>Petruc - Palmira</t>
  </si>
  <si>
    <t>Cañaveral CR 32 - Palmira</t>
  </si>
  <si>
    <t>TOTAL</t>
  </si>
  <si>
    <t>La 19 con 35</t>
  </si>
  <si>
    <t>Heladería Sembrador</t>
  </si>
  <si>
    <t>CC Virginia - Palmira</t>
  </si>
  <si>
    <t>La 19 con 33</t>
  </si>
  <si>
    <t>Independencia - Palmira</t>
  </si>
  <si>
    <t>Café Palmira</t>
  </si>
  <si>
    <t>Oasis de la Italia</t>
  </si>
  <si>
    <t>Avenida las victorias - Villa Gorgona</t>
  </si>
  <si>
    <t>Poblado Lourdes - Palmira</t>
  </si>
  <si>
    <t>Guayacanes del ingenio</t>
  </si>
  <si>
    <t>La Colina - Pradera</t>
  </si>
  <si>
    <t>Las Delicias III - Palmira</t>
  </si>
  <si>
    <t>PUNTOS PEQUEÑOS SOLO UNA CAMARA IP</t>
  </si>
  <si>
    <t>Galeria</t>
  </si>
  <si>
    <t>NVR queda para soporte o punto sencillo</t>
  </si>
  <si>
    <t>San Pedro Micelanea - Palmira</t>
  </si>
  <si>
    <t>Americas</t>
  </si>
  <si>
    <t>Villa del rosario - Palmira</t>
  </si>
  <si>
    <t>Empresarios</t>
  </si>
  <si>
    <t>Prado Iglesia - Palmira</t>
  </si>
  <si>
    <t>Santa Barbara - Palmira</t>
  </si>
  <si>
    <t>PPalmasIII</t>
  </si>
  <si>
    <t>ZamoranoIII</t>
  </si>
  <si>
    <t>Santa Teresita II - Palmira</t>
  </si>
  <si>
    <t>Popular Modelo</t>
  </si>
  <si>
    <t>Expreso Palmira (Bodega)</t>
  </si>
  <si>
    <t>Telecom - Rozo</t>
  </si>
  <si>
    <t>Prado La Rochela (Instalación nueva)</t>
  </si>
  <si>
    <t xml:space="preserve">OLIMPICO 3 </t>
  </si>
  <si>
    <t>Olimpico I - Palmira</t>
  </si>
  <si>
    <t>Belalcazar - Rozo</t>
  </si>
  <si>
    <t>Oficina Rozo</t>
  </si>
  <si>
    <t>Solo se cambia NVR</t>
  </si>
  <si>
    <t>Mercahogar - Amaime</t>
  </si>
  <si>
    <t>Oficina Amaime</t>
  </si>
  <si>
    <t>Se desmonta tecnología obsoleta</t>
  </si>
  <si>
    <t>Acuarios - Florida</t>
  </si>
  <si>
    <t>Amaime 1</t>
  </si>
  <si>
    <t>Calle del Comercio - Amaime</t>
  </si>
  <si>
    <t>La Caleñita - Florida</t>
  </si>
  <si>
    <t>Sistema CCTV SportBooks y Oficinas</t>
  </si>
  <si>
    <t>Instalación CAM IP com Analíticas</t>
  </si>
  <si>
    <t>Oficina Florida</t>
  </si>
  <si>
    <t xml:space="preserve">La victoria </t>
  </si>
  <si>
    <t>Comuneros - Pradera</t>
  </si>
  <si>
    <t>Total Implementación del Proyecto</t>
  </si>
  <si>
    <t>Berlin Puertas del Sol - Pradera</t>
  </si>
  <si>
    <t>Oficina Pradera</t>
  </si>
  <si>
    <t>Parque Pradera (Instalación nueva)</t>
  </si>
  <si>
    <t>Comercio Villa Gorgona</t>
  </si>
  <si>
    <t>Maxitodo</t>
  </si>
  <si>
    <t>La Maria - Pradera</t>
  </si>
  <si>
    <t>Guayabal - Occidente</t>
  </si>
  <si>
    <t>Oficina Candelaria</t>
  </si>
  <si>
    <t>Ciudad Campo</t>
  </si>
  <si>
    <t>Las Brisas - Villagorgona</t>
  </si>
  <si>
    <t>Oficina Villagorgona</t>
  </si>
  <si>
    <t>La Virgen - Villagorgona</t>
  </si>
  <si>
    <t>PUNTO A INSTALAR CON DETECCIÓN DE ROSTROS (COMBO NUEVO)</t>
  </si>
  <si>
    <t>PUNTO A INSTALAR COMBOS NORMAL (COMBO REUTILIZADO)</t>
  </si>
  <si>
    <t>Cabuyal</t>
  </si>
  <si>
    <t>Guardería - Candelaria</t>
  </si>
  <si>
    <t>La 19 con 37 II - Palmira (Instalación nueva con IA)</t>
  </si>
  <si>
    <t>Carmelo</t>
  </si>
  <si>
    <t>San Antonio - Florida</t>
  </si>
  <si>
    <t>Droguería Prado - Palmira (Cambio de Tecnologia)</t>
  </si>
  <si>
    <t>Uribe - Palmira (Instalación con equipos desmontados)</t>
  </si>
  <si>
    <t>Guayacanes del Ingenio - Palmira (Cambio de tecnología)</t>
  </si>
  <si>
    <t>Rivera Escobar - Palmira (Instalación con equipos desmontados)</t>
  </si>
  <si>
    <t>Tienda Nueva (DH-IPC-HDBW5442E-Z3)</t>
  </si>
  <si>
    <t>Ciclomotos - Palmira</t>
  </si>
  <si>
    <t>Oficina Villagorgona (Cambio de Tecnología)</t>
  </si>
  <si>
    <t>La Virgen Villagorgona (Instalación con equipos desmontados)</t>
  </si>
  <si>
    <t>Aeropuerto</t>
  </si>
  <si>
    <t>Tablones I - Occidente</t>
  </si>
  <si>
    <t>Bolo Alaska</t>
  </si>
  <si>
    <t>Crucero guanabanal</t>
  </si>
  <si>
    <t>Callejón Salitre - Occidente</t>
  </si>
  <si>
    <t>19 con 37 I (Punto desmontado)</t>
  </si>
  <si>
    <t>Santa teresita II - Palmira (Instalación con equipos desmontados)</t>
  </si>
  <si>
    <t>Mercedes I - Palmira (Punto desmontado)</t>
  </si>
  <si>
    <t>Caicelandia - Palmira (Instalación con equipos desmontados)</t>
  </si>
  <si>
    <t>Sembrador Plaza - Palmira (Camara con entrada y salida de alarma)</t>
  </si>
  <si>
    <t>La 19 con 35 ( Cambio de tecnología)</t>
  </si>
  <si>
    <t>Independencia - Palmira (Instalación con equipos desmontados)</t>
  </si>
  <si>
    <t>La 19 con 33 (Cambio de Tecnología)</t>
  </si>
  <si>
    <t>Petruc (Instalación con equipos desmontados)</t>
  </si>
  <si>
    <t>Oficina Carmelo (Cambio de Tecnología)</t>
  </si>
  <si>
    <t>Heladería Sembrador ( Instalación con equipos desmontados)</t>
  </si>
  <si>
    <t>Cementerio Palmira (Cambio de Tecnología)</t>
  </si>
  <si>
    <t>La Victoria - Florida (Instalación con equipos desmontados)</t>
  </si>
  <si>
    <t>Americas Palmira (Cambio de Tecnología)</t>
  </si>
  <si>
    <t>Cañaveral Crr 32 (Camara con entrada y salida de alarma)</t>
  </si>
  <si>
    <t>Maxitodo (Cambio de Tecnología)</t>
  </si>
  <si>
    <t>La Maria - Pradera (Instalación con equipos desmontados)</t>
  </si>
  <si>
    <t>Oasis de la Italia (Cambio de Tecnología)</t>
  </si>
  <si>
    <t>Expreso Palmira (Bodega - Instalación con equipos desmontados)</t>
  </si>
  <si>
    <t>CANALES</t>
  </si>
  <si>
    <t>DVR/NVR'S</t>
  </si>
  <si>
    <t>K35/CAM_IP</t>
  </si>
  <si>
    <t>Punto - Oficina</t>
  </si>
  <si>
    <t>HapLite</t>
  </si>
  <si>
    <t>RED DVR / NVR /CAM</t>
  </si>
  <si>
    <t>IP Red Wifi/24-28</t>
  </si>
  <si>
    <t>NAT</t>
  </si>
  <si>
    <t>PUERTO NVR</t>
  </si>
  <si>
    <t>IP real NVR</t>
  </si>
  <si>
    <t>N. Camaras</t>
  </si>
  <si>
    <t>Actualizado</t>
  </si>
  <si>
    <t>Palmira</t>
  </si>
  <si>
    <t>ETHER 1</t>
  </si>
  <si>
    <t>ETHER 4</t>
  </si>
  <si>
    <t>versión</t>
  </si>
  <si>
    <t>Alarma</t>
  </si>
  <si>
    <t>Dude</t>
  </si>
  <si>
    <t>Detección</t>
  </si>
  <si>
    <t>CAJAS - PUNTO DE VENTA - ok horario</t>
  </si>
  <si>
    <t>10.220.1.80</t>
  </si>
  <si>
    <t>5.001.0000000.2.R 31-03-2026</t>
  </si>
  <si>
    <t>SMD</t>
  </si>
  <si>
    <t>EDIFICIO PRINCIPAL (Paradox)</t>
  </si>
  <si>
    <t>10.220.1.56</t>
  </si>
  <si>
    <t>4.002.0000000.8.R 30-10-2024</t>
  </si>
  <si>
    <t>OSZFORD</t>
  </si>
  <si>
    <t>PARQUEADERO - CUARTO ELECTRICO</t>
  </si>
  <si>
    <t>10.220.99</t>
  </si>
  <si>
    <t>5.001.0000000.2.R 2026-03-31</t>
  </si>
  <si>
    <t>CONTEO PRINCIPAL</t>
  </si>
  <si>
    <t>10.220.1.81</t>
  </si>
  <si>
    <t>4.001.0000005.4.R 08-08-2024</t>
  </si>
  <si>
    <t>Punto Parqueadero Ganador (Alarma Dahua)</t>
  </si>
  <si>
    <t>192.168.36.16</t>
  </si>
  <si>
    <t>10.220.8.0</t>
  </si>
  <si>
    <t>10.20.20.0</t>
  </si>
  <si>
    <t>OK</t>
  </si>
  <si>
    <t>10.220.8.2/27</t>
  </si>
  <si>
    <t>Alarma oszford</t>
  </si>
  <si>
    <t>ok</t>
  </si>
  <si>
    <t>HapLite Cigarra</t>
  </si>
  <si>
    <t>192.168.36.9/25</t>
  </si>
  <si>
    <t>20.1/27</t>
  </si>
  <si>
    <t>10.220.20.0</t>
  </si>
  <si>
    <t>10.20.33.0</t>
  </si>
  <si>
    <t>10.220.20.2/27</t>
  </si>
  <si>
    <t>5.001.0000000.2.R 05/06/2026</t>
  </si>
  <si>
    <t>ParqueBolivarParqueadero (Alarma Dahua)</t>
  </si>
  <si>
    <t>192.168.36.36</t>
  </si>
  <si>
    <t>10.220.19.3/27</t>
  </si>
  <si>
    <t>4.003.0000000.1.R 15-05-2024</t>
  </si>
  <si>
    <t>SMD OSZFORD</t>
  </si>
  <si>
    <t>RED 44</t>
  </si>
  <si>
    <t>ParqueBolivarCajas</t>
  </si>
  <si>
    <t>19.1/27</t>
  </si>
  <si>
    <t>10.220.19.0</t>
  </si>
  <si>
    <t>10.20.32.0</t>
  </si>
  <si>
    <t>10.220.19.2/27</t>
  </si>
  <si>
    <t>4.001.0000003.2 29-09-2020</t>
  </si>
  <si>
    <t>ParquePrado (Paradox)</t>
  </si>
  <si>
    <t>192.168.44.230</t>
  </si>
  <si>
    <t>55.1/27</t>
  </si>
  <si>
    <t>10.220.55.0</t>
  </si>
  <si>
    <t>10.20.46.0</t>
  </si>
  <si>
    <t>10.220.55.2/27</t>
  </si>
  <si>
    <t>Licores I</t>
  </si>
  <si>
    <t>192.168.44.45</t>
  </si>
  <si>
    <t>48.1/27</t>
  </si>
  <si>
    <t>10.220.48.0</t>
  </si>
  <si>
    <t>10.20.30,0</t>
  </si>
  <si>
    <t>10.220.48.2/27</t>
  </si>
  <si>
    <t>V4.001.0000005.2.R</t>
  </si>
  <si>
    <t>INDEPENDECIA</t>
  </si>
  <si>
    <t>192.168.44.218</t>
  </si>
  <si>
    <t>65.0/27</t>
  </si>
  <si>
    <t>10.220.65.0</t>
  </si>
  <si>
    <t>N/A</t>
  </si>
  <si>
    <t>10.220.65.2/27</t>
  </si>
  <si>
    <t>V4.002.0000000.5.R</t>
  </si>
  <si>
    <t>Tienda Costa Rica (Evento botón de pánico)</t>
  </si>
  <si>
    <t>192.168.45.235</t>
  </si>
  <si>
    <t>84.1/27</t>
  </si>
  <si>
    <t>10.220.30.0</t>
  </si>
  <si>
    <t>10.220.30.2/27</t>
  </si>
  <si>
    <t>V4.002.0000001.5.R</t>
  </si>
  <si>
    <t>Drogueria Prado II (Evento botón de pánico)</t>
  </si>
  <si>
    <t>192.168.44.188</t>
  </si>
  <si>
    <t>72.1/27</t>
  </si>
  <si>
    <t>10.220.72.0</t>
  </si>
  <si>
    <t>192.168.28.0/29</t>
  </si>
  <si>
    <t>10.220.72.2/27</t>
  </si>
  <si>
    <t>V4.002.0000000.6.R</t>
  </si>
  <si>
    <t>Prado Iglesia</t>
  </si>
  <si>
    <t>192.168.44.41</t>
  </si>
  <si>
    <t>101.1/27</t>
  </si>
  <si>
    <t>10.220.101.0</t>
  </si>
  <si>
    <t>10.220.101.1/27</t>
  </si>
  <si>
    <t>Pir</t>
  </si>
  <si>
    <t>Caja Agraria</t>
  </si>
  <si>
    <t>192.168.45.199</t>
  </si>
  <si>
    <t>17.1/27</t>
  </si>
  <si>
    <t>10.220.17.0</t>
  </si>
  <si>
    <t>10.20.34.0</t>
  </si>
  <si>
    <t>V4.003.0000000.0.R</t>
  </si>
  <si>
    <t>Fray Luis (Evento botón de pánico)</t>
  </si>
  <si>
    <t>192.168.45.222</t>
  </si>
  <si>
    <t>87.1/27</t>
  </si>
  <si>
    <t>10.220.87.0</t>
  </si>
  <si>
    <t>10.220.87.2/27</t>
  </si>
  <si>
    <t>V4.003.0000000.1.R</t>
  </si>
  <si>
    <t>DHI-NVR4208-4KS2/L</t>
  </si>
  <si>
    <t>19 CON 37 II (Evento botón de pánico)</t>
  </si>
  <si>
    <t>192.168.45.45</t>
  </si>
  <si>
    <t>91.1/27</t>
  </si>
  <si>
    <t>10.220.91.0</t>
  </si>
  <si>
    <t>10.220.91.2/27</t>
  </si>
  <si>
    <t>La 19 con 35 - ok horario DHI-NVR5208-EI</t>
  </si>
  <si>
    <t>192.168.45.175</t>
  </si>
  <si>
    <t>29.1/27</t>
  </si>
  <si>
    <t>10.220.29.0</t>
  </si>
  <si>
    <t>10.10.10.1/24</t>
  </si>
  <si>
    <t>10.220.29.2/27</t>
  </si>
  <si>
    <t>Casa la 27</t>
  </si>
  <si>
    <t>192.168.45.225</t>
  </si>
  <si>
    <t>Pikos (IPC-3441E + NVR)</t>
  </si>
  <si>
    <t>192.168.44.227</t>
  </si>
  <si>
    <t>22.1/24</t>
  </si>
  <si>
    <t>10.220.22.0</t>
  </si>
  <si>
    <t>10.20.37.0</t>
  </si>
  <si>
    <t>10.220.22.1/24</t>
  </si>
  <si>
    <t>4.005.0000001.6.R 19-12-2025</t>
  </si>
  <si>
    <t>Sembrador Plaza</t>
  </si>
  <si>
    <t>192.168.44.19</t>
  </si>
  <si>
    <t>NO</t>
  </si>
  <si>
    <t>3.140.0000000.81.R 08-05-2026</t>
  </si>
  <si>
    <t xml:space="preserve">Tienda Uribe </t>
  </si>
  <si>
    <t>192.168.45.181</t>
  </si>
  <si>
    <t>43.1/29</t>
  </si>
  <si>
    <t>10.220.43.1</t>
  </si>
  <si>
    <t>No aplica</t>
  </si>
  <si>
    <t>10.220.43.1/29</t>
  </si>
  <si>
    <t>Colombia cabinas (IPC-K35)</t>
  </si>
  <si>
    <t>192.168.44.181</t>
  </si>
  <si>
    <t>52.1/27</t>
  </si>
  <si>
    <t>10.220.52.0</t>
  </si>
  <si>
    <t>2.400.000000.16.R</t>
  </si>
  <si>
    <t>K35</t>
  </si>
  <si>
    <t xml:space="preserve">AntPpal </t>
  </si>
  <si>
    <t>192.168.44.178</t>
  </si>
  <si>
    <t>26.1/27</t>
  </si>
  <si>
    <t>10.220.26.0</t>
  </si>
  <si>
    <t>10.20.41.0</t>
  </si>
  <si>
    <t>10.220.26.2/27</t>
  </si>
  <si>
    <t>Ok pir</t>
  </si>
  <si>
    <t>V4.001.0000005.4.R</t>
  </si>
  <si>
    <t>DHI-NVR4208-8P-4KS2</t>
  </si>
  <si>
    <t>RED 20</t>
  </si>
  <si>
    <t>CC Llanogrande plaza</t>
  </si>
  <si>
    <t>192.168.20.190</t>
  </si>
  <si>
    <t>9.1/27</t>
  </si>
  <si>
    <t>10.220.9.0</t>
  </si>
  <si>
    <t>10.20.35.0</t>
  </si>
  <si>
    <t>10.220.9.2/27</t>
  </si>
  <si>
    <t>V4.005.0000000.1.R</t>
  </si>
  <si>
    <t>192.168.20.140</t>
  </si>
  <si>
    <t>2.1/27</t>
  </si>
  <si>
    <t>10.220.2.0</t>
  </si>
  <si>
    <t>10.20.45.0</t>
  </si>
  <si>
    <t>10.220.2.2/27</t>
  </si>
  <si>
    <t>CC Carrefour Metro</t>
  </si>
  <si>
    <t>192.168.21.155</t>
  </si>
  <si>
    <t>21.1/27</t>
  </si>
  <si>
    <t>10.220.21.0</t>
  </si>
  <si>
    <t>10.20.36.0</t>
  </si>
  <si>
    <t>10.220.21.2/27</t>
  </si>
  <si>
    <t>4.001.0000005.2.R 06-08-2024</t>
  </si>
  <si>
    <t>4,001,0000005,2,R</t>
  </si>
  <si>
    <t>DHI-NVR2208-8P-4KS2</t>
  </si>
  <si>
    <t>192.168.22.52</t>
  </si>
  <si>
    <t>4.1/27</t>
  </si>
  <si>
    <t>10.220.4.0/27</t>
  </si>
  <si>
    <t>10.20.48.0</t>
  </si>
  <si>
    <t>10.220.4.2/27</t>
  </si>
  <si>
    <t>4,001,0000005,4,R</t>
  </si>
  <si>
    <t>192.168.20.105</t>
  </si>
  <si>
    <t>46.1/27</t>
  </si>
  <si>
    <t>10.220.46.0</t>
  </si>
  <si>
    <t>4,002,0000000,7,R</t>
  </si>
  <si>
    <t>DHI-NVR5864-4KS2</t>
  </si>
  <si>
    <t>192.168.20.56</t>
  </si>
  <si>
    <t>37.1/27</t>
  </si>
  <si>
    <t>10.220.37.0</t>
  </si>
  <si>
    <t>10.20.55.0</t>
  </si>
  <si>
    <t>10.220.37.2/27</t>
  </si>
  <si>
    <t>192.168.20.163</t>
  </si>
  <si>
    <t>38.1/27</t>
  </si>
  <si>
    <t>10.220.38.0</t>
  </si>
  <si>
    <t>10.20.56.0</t>
  </si>
  <si>
    <t>10.220.38.2/27</t>
  </si>
  <si>
    <t>Papayal</t>
  </si>
  <si>
    <t>192.168.20.39</t>
  </si>
  <si>
    <t>42.1/27</t>
  </si>
  <si>
    <t>10.220.42.0</t>
  </si>
  <si>
    <t>10.4.4.0/24</t>
  </si>
  <si>
    <t>Obrero 1</t>
  </si>
  <si>
    <t>192.168.20.150</t>
  </si>
  <si>
    <t>49.1/27</t>
  </si>
  <si>
    <t>10.220.49.0</t>
  </si>
  <si>
    <t>10.220.49.2/27</t>
  </si>
  <si>
    <t>Berlin (Evento botón de pánico)</t>
  </si>
  <si>
    <t>192.168.21.192</t>
  </si>
  <si>
    <t>5.1/27</t>
  </si>
  <si>
    <t>10.220.5.0</t>
  </si>
  <si>
    <t>10.220.5.2/27</t>
  </si>
  <si>
    <t>PIR</t>
  </si>
  <si>
    <t>Oasis de la Italia (Evento botón de pánico)</t>
  </si>
  <si>
    <t>192.168.22.50</t>
  </si>
  <si>
    <t>86.1/27</t>
  </si>
  <si>
    <t>10.220.86.2/27</t>
  </si>
  <si>
    <t>Guayacanes del ingenio (Evento botón de pánico)</t>
  </si>
  <si>
    <t>192.168.20.29</t>
  </si>
  <si>
    <t>85.1/27</t>
  </si>
  <si>
    <t>10.220.85.2/27</t>
  </si>
  <si>
    <t>4,003,0000000,1,R</t>
  </si>
  <si>
    <t>Reservas de la Italia (Evento botón de pánico)</t>
  </si>
  <si>
    <t>192.168.21.41</t>
  </si>
  <si>
    <t>88.1/27</t>
  </si>
  <si>
    <t>10.220.88.0</t>
  </si>
  <si>
    <t>10.220.88.2./27</t>
  </si>
  <si>
    <t>Parque Italia Principal (Paradox)</t>
  </si>
  <si>
    <t>192.168.20.41</t>
  </si>
  <si>
    <t>59.1/27</t>
  </si>
  <si>
    <t>10.220.59.0</t>
  </si>
  <si>
    <t>10.30.80.0/30</t>
  </si>
  <si>
    <t>10.220.59.2/27</t>
  </si>
  <si>
    <t>RIVERA ESCOBAR (Evento botón de pánico)</t>
  </si>
  <si>
    <t>192.168.21.195</t>
  </si>
  <si>
    <t>10.220.63.0</t>
  </si>
  <si>
    <t>10.20.80.0/27</t>
  </si>
  <si>
    <t>10.220.63.2/27</t>
  </si>
  <si>
    <t>4.006.0000000.5.R 09-02-2026</t>
  </si>
  <si>
    <t>PETRU (IPC-K35)</t>
  </si>
  <si>
    <t>192.168.20.203</t>
  </si>
  <si>
    <t>66.1/27</t>
  </si>
  <si>
    <t>10.220.66.0</t>
  </si>
  <si>
    <t>CAICELANDIA 2 (Evento botón de pánico)</t>
  </si>
  <si>
    <t>192.168.21.39</t>
  </si>
  <si>
    <t>10.220.70.0</t>
  </si>
  <si>
    <t>Unicentro</t>
  </si>
  <si>
    <t>192.168.20.125</t>
  </si>
  <si>
    <t>3.1/27</t>
  </si>
  <si>
    <t>10.220.3.0</t>
  </si>
  <si>
    <t>10.20.47.0</t>
  </si>
  <si>
    <t>10.220.3.2/27</t>
  </si>
  <si>
    <t>192.168.21.52</t>
  </si>
  <si>
    <t>27.1/27</t>
  </si>
  <si>
    <t>10.220.27.0</t>
  </si>
  <si>
    <t>10.20.42.0</t>
  </si>
  <si>
    <t>10.220.27.2/27</t>
  </si>
  <si>
    <t>192.168.20.48</t>
  </si>
  <si>
    <t>28.1/27</t>
  </si>
  <si>
    <t>10.220.28.0</t>
  </si>
  <si>
    <t>10.20.43.0</t>
  </si>
  <si>
    <t>10.220.28.2/27</t>
  </si>
  <si>
    <t>Empresarios (Evento botón de pánico)</t>
  </si>
  <si>
    <t>89.1/27</t>
  </si>
  <si>
    <t>10.220.89.0</t>
  </si>
  <si>
    <t>10.220.89.2/27</t>
  </si>
  <si>
    <t>RED 14</t>
  </si>
  <si>
    <t>Mardenla47</t>
  </si>
  <si>
    <t>192.168.14.32</t>
  </si>
  <si>
    <t>34.1/27</t>
  </si>
  <si>
    <t>10.220.34.0</t>
  </si>
  <si>
    <t>10.20.38.0</t>
  </si>
  <si>
    <t>10.220.34.2/27</t>
  </si>
  <si>
    <t>Casa Alameda</t>
  </si>
  <si>
    <t>192.168.14.81</t>
  </si>
  <si>
    <t>32.1/27</t>
  </si>
  <si>
    <t>10.220.32.0</t>
  </si>
  <si>
    <t>10.20.49.0</t>
  </si>
  <si>
    <t>10.220.32.2/27</t>
  </si>
  <si>
    <t>192.168.14.37</t>
  </si>
  <si>
    <t>25.1/27</t>
  </si>
  <si>
    <t>10.220.25.0</t>
  </si>
  <si>
    <t>10.20.40.0</t>
  </si>
  <si>
    <t>10.220.25.2/27</t>
  </si>
  <si>
    <t>La cosecha III (Evento botón de pánico)</t>
  </si>
  <si>
    <t>192.168.15.87</t>
  </si>
  <si>
    <t>10.220.15.0.</t>
  </si>
  <si>
    <t>10.220.15.2/27</t>
  </si>
  <si>
    <t>4.006.0000000.5.R 15-05-2024</t>
  </si>
  <si>
    <t>Alameda V (Evento botón de pánico)</t>
  </si>
  <si>
    <t>192.168.14.15</t>
  </si>
  <si>
    <t>10.220.14.0.</t>
  </si>
  <si>
    <t>10.220.14.2/27</t>
  </si>
  <si>
    <t>SMD actualizada</t>
  </si>
  <si>
    <t>2.800.0000000.9.R, Build Date: 2019-11-15</t>
  </si>
  <si>
    <t>Zamorano II Oficina</t>
  </si>
  <si>
    <t>192.168.14.87</t>
  </si>
  <si>
    <t>45.1./28</t>
  </si>
  <si>
    <t>10.220.45.0</t>
  </si>
  <si>
    <t>10.20.52.0</t>
  </si>
  <si>
    <t>10.220.45.2/24</t>
  </si>
  <si>
    <t>192.168.14.84</t>
  </si>
  <si>
    <t>23.1/27</t>
  </si>
  <si>
    <t>10.220.23.0</t>
  </si>
  <si>
    <t>10.220.23.2/27</t>
  </si>
  <si>
    <t>Santa Teresita II</t>
  </si>
  <si>
    <t>192.168.15.37</t>
  </si>
  <si>
    <t>44.1/28</t>
  </si>
  <si>
    <t>10.220.44.0</t>
  </si>
  <si>
    <t>10.220.44.2/27</t>
  </si>
  <si>
    <t>Ignacio Torres (IPC-3441E)</t>
  </si>
  <si>
    <t>192.168.14.73</t>
  </si>
  <si>
    <t>10.220.18.0</t>
  </si>
  <si>
    <t>3.140.0000000.39.R 2025-07-18</t>
  </si>
  <si>
    <t>RED 34</t>
  </si>
  <si>
    <t>LaBuitrera</t>
  </si>
  <si>
    <t>192.168.34.190</t>
  </si>
  <si>
    <t>36.1/27</t>
  </si>
  <si>
    <t>10.220.36.0</t>
  </si>
  <si>
    <t>10.20.54.0</t>
  </si>
  <si>
    <t>10.220.36.2/27</t>
  </si>
  <si>
    <t>4.001.0000005.4.R</t>
  </si>
  <si>
    <t>Maricano</t>
  </si>
  <si>
    <t>192.168.34.24</t>
  </si>
  <si>
    <t>24.1/27</t>
  </si>
  <si>
    <t>10.220.24.0</t>
  </si>
  <si>
    <t>10.20.39.0</t>
  </si>
  <si>
    <t>10.220.24.2/27</t>
  </si>
  <si>
    <t>192.168.34.50</t>
  </si>
  <si>
    <t>39.1/27</t>
  </si>
  <si>
    <t>10.220.39.0</t>
  </si>
  <si>
    <t>10.220.39.2/27</t>
  </si>
  <si>
    <t>MUNICIPAL 1 (IPC-K35)</t>
  </si>
  <si>
    <t>192.168.34.86</t>
  </si>
  <si>
    <t>10.220.68.0</t>
  </si>
  <si>
    <t>Marden del Bosque</t>
  </si>
  <si>
    <t>192.168.34.147</t>
  </si>
  <si>
    <t>81.1/27</t>
  </si>
  <si>
    <t>10.220.81.0</t>
  </si>
  <si>
    <t>10.220.81.2/27</t>
  </si>
  <si>
    <t>VERSALLES 1 (IPC-K35)</t>
  </si>
  <si>
    <t>192.168.20.160</t>
  </si>
  <si>
    <t>10.220.61.0</t>
  </si>
  <si>
    <t>VPN</t>
  </si>
  <si>
    <t>10.100.1.42</t>
  </si>
  <si>
    <t>10.220.42.0.</t>
  </si>
  <si>
    <t>10.220.42.2/27</t>
  </si>
  <si>
    <t>4,005,0000000,1,R</t>
  </si>
  <si>
    <t>HELADERÁ SEMBRADOR</t>
  </si>
  <si>
    <t>10.100.1.14</t>
  </si>
  <si>
    <t>10.220.51.0</t>
  </si>
  <si>
    <t>10.220.51.2/27</t>
  </si>
  <si>
    <t>RED18</t>
  </si>
  <si>
    <t>Rozo</t>
  </si>
  <si>
    <t>192.168.18.50</t>
  </si>
  <si>
    <t>10.220.4.0</t>
  </si>
  <si>
    <t>10.20.1.0</t>
  </si>
  <si>
    <t>4.001.0000005.1</t>
  </si>
  <si>
    <t>Antigua Ppal Rozo - ok horario</t>
  </si>
  <si>
    <t>192.168.18.11</t>
  </si>
  <si>
    <t>90.1/27</t>
  </si>
  <si>
    <t>10.220.90.0</t>
  </si>
  <si>
    <t>10.20.2.0</t>
  </si>
  <si>
    <t>10.220.90.2/27</t>
  </si>
  <si>
    <t>Amaime</t>
  </si>
  <si>
    <t>RED 12</t>
  </si>
  <si>
    <t>192.168.12.15</t>
  </si>
  <si>
    <t>10.20.3.0</t>
  </si>
  <si>
    <t>3.210.0001.4</t>
  </si>
  <si>
    <t>Amaime1 - ok horario</t>
  </si>
  <si>
    <t>192.168.12.58</t>
  </si>
  <si>
    <t>10.220.76.0</t>
  </si>
  <si>
    <t>Calle Comercio(K35)</t>
  </si>
  <si>
    <t>192.168.12.81</t>
  </si>
  <si>
    <t>10.220.85.0</t>
  </si>
  <si>
    <t>Los Parrales CAM IP</t>
  </si>
  <si>
    <t>192.168.12.48</t>
  </si>
  <si>
    <t>V2.840.0000000.17.R</t>
  </si>
  <si>
    <t>Tienda Joel</t>
  </si>
  <si>
    <t>192.168.12.83</t>
  </si>
  <si>
    <t>10.220.86.0</t>
  </si>
  <si>
    <t>Florida</t>
  </si>
  <si>
    <t>RED 32</t>
  </si>
  <si>
    <t>CPU BetPlay Oficina Florida</t>
  </si>
  <si>
    <t>192.168.32.19</t>
  </si>
  <si>
    <t>10.220.6.0</t>
  </si>
  <si>
    <t>10.20.4.0</t>
  </si>
  <si>
    <t>4.000.0000000.1</t>
  </si>
  <si>
    <t>EsmeraldaFlorida</t>
  </si>
  <si>
    <t>192.168.32.36</t>
  </si>
  <si>
    <t>10.220.16.0</t>
  </si>
  <si>
    <t>10.20.5.0</t>
  </si>
  <si>
    <t>Libardo DVR</t>
  </si>
  <si>
    <t>192.168.32.136</t>
  </si>
  <si>
    <t>10.220.31.0</t>
  </si>
  <si>
    <t>3.21.0001.4</t>
  </si>
  <si>
    <t>La Octava</t>
  </si>
  <si>
    <t>192.168.32.177</t>
  </si>
  <si>
    <t>10.220.50.0</t>
  </si>
  <si>
    <t>Antigua Ppal Florida</t>
  </si>
  <si>
    <t>192.168.32.62</t>
  </si>
  <si>
    <t>10.220.77.1/27</t>
  </si>
  <si>
    <t>10.220.77.0</t>
  </si>
  <si>
    <t>10.220.77.2</t>
  </si>
  <si>
    <t xml:space="preserve">La novena </t>
  </si>
  <si>
    <t>192.168.32.106</t>
  </si>
  <si>
    <t>10.220.57.1/27</t>
  </si>
  <si>
    <t>10.220.57.0</t>
  </si>
  <si>
    <t>10.220.57.2/27</t>
  </si>
  <si>
    <t>Las Americas CAM IP</t>
  </si>
  <si>
    <t>192.168.32.182</t>
  </si>
  <si>
    <t>2.840.0000000.17.R</t>
  </si>
  <si>
    <t>Pradera</t>
  </si>
  <si>
    <t>RED 24</t>
  </si>
  <si>
    <t>Oficina Pradera DVR + NVR</t>
  </si>
  <si>
    <t>192.168.24.200</t>
  </si>
  <si>
    <t>10.20.21.0</t>
  </si>
  <si>
    <t>4.000.0000002.11</t>
  </si>
  <si>
    <t>Panchinita</t>
  </si>
  <si>
    <t>192.168.24.201</t>
  </si>
  <si>
    <t>35.1/27</t>
  </si>
  <si>
    <t>10.220.35.0</t>
  </si>
  <si>
    <t>10.20.22.0</t>
  </si>
  <si>
    <t>10.220.35.2/27</t>
  </si>
  <si>
    <t>Parque Pradera</t>
  </si>
  <si>
    <t>192.168.24.202</t>
  </si>
  <si>
    <t>10.1/27</t>
  </si>
  <si>
    <t>10.220.10.0</t>
  </si>
  <si>
    <t>10.20.23.0</t>
  </si>
  <si>
    <t>10.220.10.2/27</t>
  </si>
  <si>
    <t>La colina</t>
  </si>
  <si>
    <t>192.168.24.96</t>
  </si>
  <si>
    <t>100.1/27</t>
  </si>
  <si>
    <t>10.220.100.0</t>
  </si>
  <si>
    <t>10.220.100.2/27</t>
  </si>
  <si>
    <t>Bodega Pradera</t>
  </si>
  <si>
    <t>192.168.24.203</t>
  </si>
  <si>
    <t>10.220.11.0</t>
  </si>
  <si>
    <t>10.20.24.0</t>
  </si>
  <si>
    <t>Bingo la Sexta</t>
  </si>
  <si>
    <t>192.168.24.88</t>
  </si>
  <si>
    <t>192.168.24.204</t>
  </si>
  <si>
    <t>10.220.53.0</t>
  </si>
  <si>
    <t>Manhantan</t>
  </si>
  <si>
    <t>192.168.24.76</t>
  </si>
  <si>
    <t>10.220.54.0</t>
  </si>
  <si>
    <t>RED26</t>
  </si>
  <si>
    <t>Candelaria</t>
  </si>
  <si>
    <t>192.168.28.17</t>
  </si>
  <si>
    <t>10.220.13.0</t>
  </si>
  <si>
    <t>10.20.26.0</t>
  </si>
  <si>
    <t>Galeria Cande</t>
  </si>
  <si>
    <t>192.168.27.52</t>
  </si>
  <si>
    <t>14.1/27</t>
  </si>
  <si>
    <t>10.220.14.0</t>
  </si>
  <si>
    <t>10.20.27.0</t>
  </si>
  <si>
    <t>Registraduria</t>
  </si>
  <si>
    <t>192.168.26.52</t>
  </si>
  <si>
    <t>10.220.15.0</t>
  </si>
  <si>
    <t>10.20.28.0</t>
  </si>
  <si>
    <t>RED 42</t>
  </si>
  <si>
    <t>Juanchito CR torre la Pereira (Alarma Dahua)</t>
  </si>
  <si>
    <t>192.168.42.50</t>
  </si>
  <si>
    <t>33.1/27</t>
  </si>
  <si>
    <t>10.220.33.0</t>
  </si>
  <si>
    <t>10.20.53.0</t>
  </si>
  <si>
    <t>10.220.33.2/27</t>
  </si>
  <si>
    <t>192.168.42.22</t>
  </si>
  <si>
    <t>78.1/27</t>
  </si>
  <si>
    <t>10.220.78.0</t>
  </si>
  <si>
    <t>10.220.78.1/27</t>
  </si>
  <si>
    <t>RED 40</t>
  </si>
  <si>
    <t>Villagorgona 20 de Julio</t>
  </si>
  <si>
    <t>192.168.40.30</t>
  </si>
  <si>
    <t>10.220.7.0</t>
  </si>
  <si>
    <t>10.20.29.0</t>
  </si>
  <si>
    <t>192.168.40.201</t>
  </si>
  <si>
    <t>6.1/29</t>
  </si>
  <si>
    <t>10.20.30.0</t>
  </si>
  <si>
    <t>10.220.6.2/29</t>
  </si>
  <si>
    <t>Fanny Romero - Ppal poblado</t>
  </si>
  <si>
    <t>192.168.40.124</t>
  </si>
  <si>
    <t>80.1/27</t>
  </si>
  <si>
    <t>10.220.80.0</t>
  </si>
  <si>
    <t>10.220.80.2/27</t>
  </si>
  <si>
    <t>Iglesia</t>
  </si>
  <si>
    <t>192.168.40.18</t>
  </si>
  <si>
    <t xml:space="preserve">La Virgen Villagorgona </t>
  </si>
  <si>
    <t>192.168.40.19</t>
  </si>
  <si>
    <t>47.1/27</t>
  </si>
  <si>
    <t>noaplica</t>
  </si>
  <si>
    <t>10.220.47.2/27</t>
  </si>
  <si>
    <t>Samán</t>
  </si>
  <si>
    <t>192.168.40.142</t>
  </si>
  <si>
    <t>192.168.40.79</t>
  </si>
  <si>
    <t>10.220.83.0</t>
  </si>
  <si>
    <t>RouterCarmelo</t>
  </si>
  <si>
    <t>192.168.40.108</t>
  </si>
  <si>
    <t>12.1/27</t>
  </si>
  <si>
    <t>10.220.12.0</t>
  </si>
  <si>
    <t>10.20.25.0</t>
  </si>
  <si>
    <t>10.220.12.2/27</t>
  </si>
  <si>
    <t>Occidente</t>
  </si>
  <si>
    <t>Tienda Nueva</t>
  </si>
  <si>
    <t>192.168.22.31</t>
  </si>
  <si>
    <t>10.220.40.0</t>
  </si>
  <si>
    <t>Potrerillo</t>
  </si>
  <si>
    <t>192.168.22.36</t>
  </si>
  <si>
    <t>192.168.10.13</t>
  </si>
  <si>
    <t>10.220.91.1</t>
  </si>
  <si>
    <t>192.168.46.12</t>
  </si>
  <si>
    <t>10.220.41.0</t>
  </si>
  <si>
    <t>Herradura CAM IP</t>
  </si>
  <si>
    <t>192.168.10.25</t>
  </si>
  <si>
    <t>10.220.57.2</t>
  </si>
  <si>
    <t>OFICINA</t>
  </si>
  <si>
    <t>IP</t>
  </si>
  <si>
    <t>MASCARA</t>
  </si>
  <si>
    <t>GATAWEY</t>
  </si>
  <si>
    <t>Account No</t>
  </si>
  <si>
    <t>Pane Type</t>
  </si>
  <si>
    <t>Version</t>
  </si>
  <si>
    <t>SN</t>
  </si>
  <si>
    <t>Systen Login / Panel ID</t>
  </si>
  <si>
    <t>COM GPRS/IP</t>
  </si>
  <si>
    <t>Edificio Palmira</t>
  </si>
  <si>
    <t>10.220.1.100/24</t>
  </si>
  <si>
    <t>255.255.255.0</t>
  </si>
  <si>
    <t>10.220.1.1</t>
  </si>
  <si>
    <t>0028</t>
  </si>
  <si>
    <t>EVO192</t>
  </si>
  <si>
    <t>07.52.001</t>
  </si>
  <si>
    <t>050ABE43</t>
  </si>
  <si>
    <t>192.168.45.204/23</t>
  </si>
  <si>
    <t>255.255.254.0</t>
  </si>
  <si>
    <t>192.168.44.1</t>
  </si>
  <si>
    <t>0032</t>
  </si>
  <si>
    <t>SP6000</t>
  </si>
  <si>
    <t>07.14.002</t>
  </si>
  <si>
    <t>29F005D4</t>
  </si>
  <si>
    <t>La Italia</t>
  </si>
  <si>
    <t>192.168.20.69/23</t>
  </si>
  <si>
    <t>192.168.20.1</t>
  </si>
  <si>
    <t>0039</t>
  </si>
  <si>
    <t>19 con 35</t>
  </si>
  <si>
    <t>192.168.21.120/23</t>
  </si>
  <si>
    <t>0036</t>
  </si>
  <si>
    <t>Merdes II</t>
  </si>
  <si>
    <t>192.168.20.104/23</t>
  </si>
  <si>
    <t>0037</t>
  </si>
  <si>
    <t>Prado Parque</t>
  </si>
  <si>
    <t>192.168.44.229/23</t>
  </si>
  <si>
    <t>0025</t>
  </si>
  <si>
    <t>07.1x</t>
  </si>
  <si>
    <t>29F001B7</t>
  </si>
  <si>
    <t>candelaria</t>
  </si>
  <si>
    <t>192.168.28.10/24</t>
  </si>
  <si>
    <t>192.168.28.2</t>
  </si>
  <si>
    <t>0033</t>
  </si>
  <si>
    <t>291430E5</t>
  </si>
  <si>
    <t>192.168.40.47/24</t>
  </si>
  <si>
    <t>192.168.40.1</t>
  </si>
  <si>
    <t>0040</t>
  </si>
  <si>
    <t>29F00608</t>
  </si>
  <si>
    <t>Ciudad del Campo</t>
  </si>
  <si>
    <t>192.168.42.54/24</t>
  </si>
  <si>
    <t>192.168.42.1</t>
  </si>
  <si>
    <t>0031</t>
  </si>
  <si>
    <t>2914292A</t>
  </si>
  <si>
    <t>Poblado Campestre</t>
  </si>
  <si>
    <t>192.168.40.133/24</t>
  </si>
  <si>
    <t>0035</t>
  </si>
  <si>
    <t>Villa Gorgona</t>
  </si>
  <si>
    <t>192.168.40.132/24</t>
  </si>
  <si>
    <t>0034</t>
  </si>
  <si>
    <t>Juanchito</t>
  </si>
  <si>
    <t>192.168.42.55/24</t>
  </si>
  <si>
    <t>0030</t>
  </si>
  <si>
    <t>Ofi Florida</t>
  </si>
  <si>
    <t>192.168.32.92/24</t>
  </si>
  <si>
    <t>192.168.32.1</t>
  </si>
  <si>
    <t>0026</t>
  </si>
  <si>
    <t>07.70.001</t>
  </si>
  <si>
    <t>050BBACE</t>
  </si>
  <si>
    <t>Ofi Pradera</t>
  </si>
  <si>
    <t>192.168.25.48/24</t>
  </si>
  <si>
    <t>192.168.25.1</t>
  </si>
  <si>
    <t>0027</t>
  </si>
  <si>
    <t>29142D68</t>
  </si>
  <si>
    <t>Ofi Rozo</t>
  </si>
  <si>
    <t>192.168.18.39/23</t>
  </si>
  <si>
    <t>192.168.18.1</t>
  </si>
  <si>
    <t>0038</t>
  </si>
  <si>
    <t>29F0069A</t>
  </si>
  <si>
    <t>192.168.12.39/24</t>
  </si>
  <si>
    <t>192.168.12.1</t>
  </si>
  <si>
    <t>0041</t>
  </si>
  <si>
    <t>29F00606</t>
  </si>
  <si>
    <t>Bolo</t>
  </si>
  <si>
    <t>192.168.46.101/25</t>
  </si>
  <si>
    <t>255.255.255.128</t>
  </si>
  <si>
    <t>192.168.46.1</t>
  </si>
  <si>
    <t>0029</t>
  </si>
  <si>
    <t>PLACA</t>
  </si>
  <si>
    <t>MARCA</t>
  </si>
  <si>
    <t>LINEA</t>
  </si>
  <si>
    <t>MODELO</t>
  </si>
  <si>
    <t>CILINDRAJE</t>
  </si>
  <si>
    <t>CCTV</t>
  </si>
  <si>
    <t>S/N</t>
  </si>
  <si>
    <t>GPRS ID</t>
  </si>
  <si>
    <t>SIM</t>
  </si>
  <si>
    <t>OPERADOR</t>
  </si>
  <si>
    <t>OSBERVACION</t>
  </si>
  <si>
    <t>DIU838</t>
  </si>
  <si>
    <t>TOYOTA</t>
  </si>
  <si>
    <t>LAND CRUISER 70</t>
  </si>
  <si>
    <t>3.956</t>
  </si>
  <si>
    <t>57101602610303309 | 3132500839</t>
  </si>
  <si>
    <t>Claro</t>
  </si>
  <si>
    <t>Sin Camaras</t>
  </si>
  <si>
    <t>HYN816</t>
  </si>
  <si>
    <t>FORTUNER</t>
  </si>
  <si>
    <t>2.982</t>
  </si>
  <si>
    <t>2 Cam</t>
  </si>
  <si>
    <t>4E00F12PAJ26108</t>
  </si>
  <si>
    <t>57101602610303310 | 3132500908</t>
  </si>
  <si>
    <t>HYQ353</t>
  </si>
  <si>
    <t>4 Cam</t>
  </si>
  <si>
    <t>4E00F14P4J8C199</t>
  </si>
  <si>
    <t>57101602610303311 | 3132500909</t>
  </si>
  <si>
    <t>Camaras antiguas OK</t>
  </si>
  <si>
    <t>FQY217</t>
  </si>
  <si>
    <t>2.694</t>
  </si>
  <si>
    <t>4E089E9PAJ5D255</t>
  </si>
  <si>
    <t>57101602610303312 | 3132501011</t>
  </si>
  <si>
    <t>LKW770</t>
  </si>
  <si>
    <t>PRADO</t>
  </si>
  <si>
    <t>4E00F12PAJC6E3D</t>
  </si>
  <si>
    <t>57101602610303313 | 3132501034</t>
  </si>
  <si>
    <t>LKX241</t>
  </si>
  <si>
    <t>HILUX</t>
  </si>
  <si>
    <t>3 Cam</t>
  </si>
  <si>
    <t>4E00F12PAJ6B3D8</t>
  </si>
  <si>
    <t>57101602610303314 | 3132501105</t>
  </si>
  <si>
    <t>LSR465</t>
  </si>
  <si>
    <t>4E00F12P4J65836</t>
  </si>
  <si>
    <t>57101602610303315 | 3132501127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</si>
</sst>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8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9" tint="0.3999755851924192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sz val="9"/>
      <color indexed="81"/>
      <name val="Tahoma"/>
      <charset val="1"/>
    </font>
    <font>
      <b/>
      <sz val="11"/>
      <color theme="4" tint="-0.499984740745262"/>
      <name val="Aptos Narrow"/>
      <family val="2"/>
      <scheme val="minor"/>
    </font>
    <font>
      <b/>
      <sz val="16"/>
      <color theme="9" tint="0.3999755851924192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8"/>
      <color theme="5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i/>
      <sz val="11"/>
      <color theme="9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theme="3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i/>
      <sz val="11"/>
      <color theme="5" tint="-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8"/>
      <color theme="9" tint="0.3999755851924192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24">
    <xf numFmtId="0" fontId="0" fillId="0" borderId="0" xfId="0"/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6" fillId="0" borderId="7" xfId="0" applyNumberFormat="1" applyFont="1" applyBorder="1"/>
    <xf numFmtId="0" fontId="0" fillId="4" borderId="8" xfId="0" applyFill="1" applyBorder="1"/>
    <xf numFmtId="0" fontId="0" fillId="4" borderId="9" xfId="0" applyFill="1" applyBorder="1"/>
    <xf numFmtId="164" fontId="0" fillId="0" borderId="10" xfId="0" applyNumberFormat="1" applyBorder="1"/>
    <xf numFmtId="0" fontId="0" fillId="4" borderId="11" xfId="0" applyFill="1" applyBorder="1"/>
    <xf numFmtId="164" fontId="0" fillId="0" borderId="12" xfId="0" applyNumberFormat="1" applyBorder="1"/>
    <xf numFmtId="0" fontId="0" fillId="4" borderId="13" xfId="0" applyFill="1" applyBorder="1"/>
    <xf numFmtId="0" fontId="0" fillId="4" borderId="14" xfId="0" applyFill="1" applyBorder="1"/>
    <xf numFmtId="0" fontId="0" fillId="0" borderId="13" xfId="0" applyBorder="1"/>
    <xf numFmtId="0" fontId="0" fillId="0" borderId="14" xfId="0" applyBorder="1"/>
    <xf numFmtId="0" fontId="0" fillId="5" borderId="13" xfId="0" applyFill="1" applyBorder="1"/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/>
    </xf>
    <xf numFmtId="0" fontId="0" fillId="5" borderId="14" xfId="0" applyFill="1" applyBorder="1"/>
    <xf numFmtId="0" fontId="10" fillId="0" borderId="14" xfId="0" applyFont="1" applyBorder="1"/>
    <xf numFmtId="0" fontId="2" fillId="0" borderId="19" xfId="0" applyFont="1" applyBorder="1"/>
    <xf numFmtId="164" fontId="0" fillId="0" borderId="20" xfId="0" applyNumberFormat="1" applyBorder="1"/>
    <xf numFmtId="0" fontId="5" fillId="3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11" fillId="5" borderId="14" xfId="0" applyFont="1" applyFill="1" applyBorder="1"/>
    <xf numFmtId="0" fontId="0" fillId="0" borderId="19" xfId="0" applyBorder="1"/>
    <xf numFmtId="0" fontId="10" fillId="0" borderId="21" xfId="0" applyFont="1" applyBorder="1"/>
    <xf numFmtId="0" fontId="0" fillId="0" borderId="21" xfId="0" applyBorder="1"/>
    <xf numFmtId="0" fontId="0" fillId="0" borderId="22" xfId="0" applyBorder="1"/>
    <xf numFmtId="164" fontId="0" fillId="0" borderId="23" xfId="0" applyNumberFormat="1" applyBorder="1"/>
    <xf numFmtId="0" fontId="5" fillId="3" borderId="24" xfId="1" applyFont="1" applyFill="1" applyBorder="1" applyAlignment="1">
      <alignment horizontal="center" vertical="center"/>
    </xf>
    <xf numFmtId="0" fontId="12" fillId="0" borderId="25" xfId="0" applyFont="1" applyBorder="1"/>
    <xf numFmtId="0" fontId="13" fillId="0" borderId="14" xfId="0" applyFont="1" applyBorder="1"/>
    <xf numFmtId="0" fontId="0" fillId="0" borderId="25" xfId="0" applyBorder="1"/>
    <xf numFmtId="0" fontId="8" fillId="0" borderId="26" xfId="0" applyFont="1" applyBorder="1"/>
    <xf numFmtId="164" fontId="14" fillId="0" borderId="15" xfId="0" applyNumberFormat="1" applyFont="1" applyBorder="1"/>
    <xf numFmtId="0" fontId="3" fillId="0" borderId="17" xfId="0" applyFont="1" applyBorder="1" applyAlignment="1">
      <alignment horizontal="center" vertical="center"/>
    </xf>
    <xf numFmtId="0" fontId="8" fillId="0" borderId="27" xfId="0" applyFont="1" applyBorder="1"/>
    <xf numFmtId="164" fontId="14" fillId="0" borderId="5" xfId="0" applyNumberFormat="1" applyFont="1" applyBorder="1"/>
    <xf numFmtId="0" fontId="7" fillId="0" borderId="28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5" borderId="22" xfId="0" applyFill="1" applyBorder="1"/>
    <xf numFmtId="0" fontId="0" fillId="5" borderId="25" xfId="0" applyFill="1" applyBorder="1"/>
    <xf numFmtId="0" fontId="0" fillId="6" borderId="14" xfId="0" applyFill="1" applyBorder="1"/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11" fillId="4" borderId="24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12" fillId="0" borderId="14" xfId="0" applyFont="1" applyBorder="1"/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44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5" xfId="0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/>
    </xf>
    <xf numFmtId="0" fontId="11" fillId="6" borderId="24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3" borderId="5" xfId="1" applyNumberFormat="1" applyFont="1" applyFill="1" applyBorder="1" applyAlignment="1">
      <alignment horizontal="center"/>
    </xf>
    <xf numFmtId="0" fontId="17" fillId="3" borderId="4" xfId="1" applyNumberFormat="1" applyFont="1" applyFill="1" applyBorder="1" applyAlignment="1">
      <alignment horizontal="center"/>
    </xf>
    <xf numFmtId="0" fontId="17" fillId="3" borderId="27" xfId="1" applyNumberFormat="1" applyFont="1" applyFill="1" applyBorder="1" applyAlignment="1">
      <alignment horizontal="center" vertical="center"/>
    </xf>
    <xf numFmtId="0" fontId="17" fillId="3" borderId="48" xfId="1" applyNumberFormat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0" fontId="5" fillId="3" borderId="16" xfId="1" applyNumberFormat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49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/>
    <xf numFmtId="0" fontId="20" fillId="3" borderId="27" xfId="1" applyFont="1" applyFill="1" applyBorder="1" applyAlignment="1">
      <alignment horizontal="center"/>
    </xf>
    <xf numFmtId="0" fontId="20" fillId="3" borderId="48" xfId="1" applyFont="1" applyFill="1" applyBorder="1" applyAlignment="1">
      <alignment horizontal="center"/>
    </xf>
    <xf numFmtId="0" fontId="20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 vertical="center"/>
    </xf>
    <xf numFmtId="0" fontId="20" fillId="3" borderId="48" xfId="1" applyFont="1" applyFill="1" applyBorder="1" applyAlignment="1">
      <alignment horizontal="right" vertical="center"/>
    </xf>
    <xf numFmtId="0" fontId="5" fillId="3" borderId="49" xfId="1" applyFont="1" applyFill="1" applyBorder="1" applyAlignment="1">
      <alignment horizontal="center" vertical="center"/>
    </xf>
    <xf numFmtId="0" fontId="20" fillId="3" borderId="49" xfId="1" applyFont="1" applyFill="1" applyBorder="1" applyAlignment="1">
      <alignment horizontal="center"/>
    </xf>
    <xf numFmtId="0" fontId="20" fillId="3" borderId="32" xfId="1" applyFont="1" applyFill="1" applyBorder="1" applyAlignment="1">
      <alignment horizontal="center"/>
    </xf>
    <xf numFmtId="0" fontId="20" fillId="3" borderId="32" xfId="1" applyFont="1" applyFill="1" applyBorder="1" applyAlignment="1">
      <alignment horizontal="left" vertical="center"/>
    </xf>
    <xf numFmtId="0" fontId="21" fillId="3" borderId="7" xfId="0" applyFont="1" applyFill="1" applyBorder="1" applyAlignment="1">
      <alignment horizontal="center" vertical="center"/>
    </xf>
    <xf numFmtId="0" fontId="20" fillId="3" borderId="53" xfId="0" applyFont="1" applyFill="1" applyBorder="1" applyAlignment="1">
      <alignment horizontal="center" vertical="center"/>
    </xf>
    <xf numFmtId="0" fontId="22" fillId="8" borderId="26" xfId="0" applyFont="1" applyFill="1" applyBorder="1" applyAlignment="1">
      <alignment horizontal="left" vertical="center"/>
    </xf>
    <xf numFmtId="3" fontId="23" fillId="8" borderId="28" xfId="0" applyNumberFormat="1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25" fillId="9" borderId="15" xfId="1" applyFont="1" applyFill="1" applyBorder="1" applyAlignment="1">
      <alignment horizontal="center" vertical="center"/>
    </xf>
    <xf numFmtId="0" fontId="26" fillId="10" borderId="15" xfId="0" applyFont="1" applyFill="1" applyBorder="1" applyAlignment="1">
      <alignment horizontal="right"/>
    </xf>
    <xf numFmtId="0" fontId="20" fillId="9" borderId="49" xfId="1" applyFont="1" applyFill="1" applyBorder="1" applyAlignment="1">
      <alignment horizontal="center"/>
    </xf>
    <xf numFmtId="0" fontId="27" fillId="10" borderId="15" xfId="1" applyFont="1" applyFill="1" applyBorder="1" applyAlignment="1">
      <alignment horizontal="center"/>
    </xf>
    <xf numFmtId="0" fontId="27" fillId="10" borderId="15" xfId="1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8" fillId="8" borderId="28" xfId="0" applyFont="1" applyFill="1" applyBorder="1" applyAlignment="1">
      <alignment horizontal="left" vertical="center"/>
    </xf>
    <xf numFmtId="3" fontId="24" fillId="8" borderId="54" xfId="0" applyNumberFormat="1" applyFont="1" applyFill="1" applyBorder="1" applyAlignment="1">
      <alignment horizontal="center" vertical="center"/>
    </xf>
    <xf numFmtId="0" fontId="25" fillId="9" borderId="7" xfId="1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right"/>
    </xf>
    <xf numFmtId="0" fontId="20" fillId="9" borderId="54" xfId="1" applyFont="1" applyFill="1" applyBorder="1" applyAlignment="1">
      <alignment horizontal="center"/>
    </xf>
    <xf numFmtId="0" fontId="27" fillId="10" borderId="7" xfId="1" applyFont="1" applyFill="1" applyBorder="1" applyAlignment="1">
      <alignment horizontal="center"/>
    </xf>
    <xf numFmtId="0" fontId="29" fillId="10" borderId="7" xfId="1" applyFont="1" applyFill="1" applyBorder="1" applyAlignment="1">
      <alignment horizontal="left" vertical="center"/>
    </xf>
    <xf numFmtId="0" fontId="20" fillId="3" borderId="17" xfId="0" applyFont="1" applyFill="1" applyBorder="1" applyAlignment="1">
      <alignment horizontal="center" vertical="center"/>
    </xf>
    <xf numFmtId="0" fontId="28" fillId="8" borderId="29" xfId="0" applyFont="1" applyFill="1" applyBorder="1" applyAlignment="1">
      <alignment horizontal="left" vertical="center"/>
    </xf>
    <xf numFmtId="0" fontId="23" fillId="8" borderId="29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right" vertical="center"/>
    </xf>
    <xf numFmtId="0" fontId="25" fillId="9" borderId="17" xfId="1" applyFont="1" applyFill="1" applyBorder="1" applyAlignment="1">
      <alignment horizontal="center" vertical="center"/>
    </xf>
    <xf numFmtId="0" fontId="26" fillId="10" borderId="17" xfId="0" applyFont="1" applyFill="1" applyBorder="1" applyAlignment="1">
      <alignment horizontal="right"/>
    </xf>
    <xf numFmtId="0" fontId="20" fillId="9" borderId="50" xfId="1" applyFont="1" applyFill="1" applyBorder="1" applyAlignment="1">
      <alignment horizontal="center"/>
    </xf>
    <xf numFmtId="0" fontId="27" fillId="10" borderId="7" xfId="1" applyFont="1" applyFill="1" applyBorder="1" applyAlignment="1">
      <alignment horizontal="left" vertical="center"/>
    </xf>
    <xf numFmtId="0" fontId="20" fillId="3" borderId="28" xfId="0" applyFont="1" applyFill="1" applyBorder="1" applyAlignment="1">
      <alignment horizontal="center" vertical="center"/>
    </xf>
    <xf numFmtId="0" fontId="0" fillId="8" borderId="54" xfId="0" applyFill="1" applyBorder="1" applyAlignment="1">
      <alignment horizontal="right" vertical="center"/>
    </xf>
    <xf numFmtId="0" fontId="25" fillId="9" borderId="54" xfId="0" applyFont="1" applyFill="1" applyBorder="1" applyAlignment="1">
      <alignment horizontal="center" vertical="center"/>
    </xf>
    <xf numFmtId="0" fontId="26" fillId="9" borderId="0" xfId="0" applyFont="1" applyFill="1"/>
    <xf numFmtId="0" fontId="27" fillId="1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left" vertical="center"/>
    </xf>
    <xf numFmtId="0" fontId="3" fillId="8" borderId="28" xfId="0" applyFont="1" applyFill="1" applyBorder="1" applyAlignment="1">
      <alignment horizontal="left" vertical="center"/>
    </xf>
    <xf numFmtId="0" fontId="23" fillId="8" borderId="28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right" vertical="center"/>
    </xf>
    <xf numFmtId="0" fontId="0" fillId="9" borderId="18" xfId="0" applyFill="1" applyBorder="1"/>
    <xf numFmtId="0" fontId="27" fillId="10" borderId="7" xfId="0" applyFont="1" applyFill="1" applyBorder="1" applyAlignment="1">
      <alignment horizontal="center"/>
    </xf>
    <xf numFmtId="0" fontId="27" fillId="10" borderId="7" xfId="0" applyFont="1" applyFill="1" applyBorder="1" applyAlignment="1">
      <alignment horizontal="left" vertical="center"/>
    </xf>
    <xf numFmtId="0" fontId="21" fillId="3" borderId="5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8" fillId="8" borderId="56" xfId="0" applyFont="1" applyFill="1" applyBorder="1" applyAlignment="1">
      <alignment horizontal="left" vertical="center"/>
    </xf>
    <xf numFmtId="3" fontId="23" fillId="8" borderId="57" xfId="0" applyNumberFormat="1" applyFont="1" applyFill="1" applyBorder="1" applyAlignment="1">
      <alignment horizontal="center" vertical="center"/>
    </xf>
    <xf numFmtId="3" fontId="24" fillId="8" borderId="58" xfId="0" applyNumberFormat="1" applyFont="1" applyFill="1" applyBorder="1" applyAlignment="1">
      <alignment horizontal="center" vertical="center"/>
    </xf>
    <xf numFmtId="0" fontId="25" fillId="9" borderId="59" xfId="0" applyFont="1" applyFill="1" applyBorder="1" applyAlignment="1">
      <alignment horizontal="center" vertical="center"/>
    </xf>
    <xf numFmtId="0" fontId="26" fillId="10" borderId="59" xfId="0" applyFont="1" applyFill="1" applyBorder="1" applyAlignment="1">
      <alignment horizontal="right"/>
    </xf>
    <xf numFmtId="0" fontId="0" fillId="9" borderId="0" xfId="0" applyFill="1"/>
    <xf numFmtId="0" fontId="20" fillId="3" borderId="60" xfId="0" applyFont="1" applyFill="1" applyBorder="1" applyAlignment="1">
      <alignment horizontal="center" vertical="center" textRotation="255" wrapText="1"/>
    </xf>
    <xf numFmtId="0" fontId="3" fillId="8" borderId="10" xfId="0" applyFont="1" applyFill="1" applyBorder="1" applyAlignment="1">
      <alignment horizontal="left" vertical="center"/>
    </xf>
    <xf numFmtId="3" fontId="23" fillId="8" borderId="61" xfId="0" applyNumberFormat="1" applyFont="1" applyFill="1" applyBorder="1" applyAlignment="1">
      <alignment horizontal="center" vertical="center"/>
    </xf>
    <xf numFmtId="0" fontId="24" fillId="8" borderId="28" xfId="0" applyFont="1" applyFill="1" applyBorder="1" applyAlignment="1">
      <alignment horizontal="center" vertical="center"/>
    </xf>
    <xf numFmtId="0" fontId="0" fillId="9" borderId="16" xfId="0" applyFill="1" applyBorder="1"/>
    <xf numFmtId="0" fontId="20" fillId="3" borderId="36" xfId="0" applyFont="1" applyFill="1" applyBorder="1" applyAlignment="1">
      <alignment horizontal="center" vertical="center" textRotation="255" wrapText="1"/>
    </xf>
    <xf numFmtId="0" fontId="28" fillId="8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14" fontId="0" fillId="0" borderId="0" xfId="0" applyNumberFormat="1"/>
    <xf numFmtId="0" fontId="29" fillId="8" borderId="7" xfId="0" applyFont="1" applyFill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0" fillId="3" borderId="62" xfId="0" applyFont="1" applyFill="1" applyBorder="1" applyAlignment="1">
      <alignment horizontal="center" vertical="center" textRotation="255" wrapText="1"/>
    </xf>
    <xf numFmtId="0" fontId="30" fillId="10" borderId="7" xfId="0" applyFont="1" applyFill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2" fillId="8" borderId="7" xfId="0" applyFont="1" applyFill="1" applyBorder="1" applyAlignment="1">
      <alignment horizontal="left" vertical="center"/>
    </xf>
    <xf numFmtId="0" fontId="25" fillId="9" borderId="7" xfId="0" applyFont="1" applyFill="1" applyBorder="1" applyAlignment="1">
      <alignment horizontal="center" vertical="center"/>
    </xf>
    <xf numFmtId="0" fontId="30" fillId="10" borderId="7" xfId="0" applyFont="1" applyFill="1" applyBorder="1" applyAlignment="1">
      <alignment horizontal="right"/>
    </xf>
    <xf numFmtId="0" fontId="20" fillId="3" borderId="40" xfId="0" applyFont="1" applyFill="1" applyBorder="1" applyAlignment="1">
      <alignment horizontal="center" vertical="center" textRotation="255" wrapText="1"/>
    </xf>
    <xf numFmtId="0" fontId="3" fillId="8" borderId="17" xfId="0" applyFont="1" applyFill="1" applyBorder="1" applyAlignment="1">
      <alignment horizontal="left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right" vertical="center"/>
    </xf>
    <xf numFmtId="0" fontId="25" fillId="9" borderId="50" xfId="0" applyFont="1" applyFill="1" applyBorder="1" applyAlignment="1">
      <alignment horizontal="center" vertical="center"/>
    </xf>
    <xf numFmtId="0" fontId="26" fillId="9" borderId="18" xfId="0" applyFont="1" applyFill="1" applyBorder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10" borderId="17" xfId="0" applyFont="1" applyFill="1" applyBorder="1" applyAlignment="1">
      <alignment horizontal="left" vertical="center"/>
    </xf>
    <xf numFmtId="0" fontId="31" fillId="0" borderId="0" xfId="0" applyFont="1" applyAlignment="1">
      <alignment horizontal="center"/>
    </xf>
    <xf numFmtId="0" fontId="20" fillId="3" borderId="11" xfId="0" applyFont="1" applyFill="1" applyBorder="1" applyAlignment="1">
      <alignment horizontal="center" vertical="center" textRotation="255"/>
    </xf>
    <xf numFmtId="0" fontId="28" fillId="8" borderId="15" xfId="0" applyFont="1" applyFill="1" applyBorder="1" applyAlignment="1">
      <alignment horizontal="left" vertical="center"/>
    </xf>
    <xf numFmtId="3" fontId="23" fillId="8" borderId="26" xfId="0" applyNumberFormat="1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4" fillId="8" borderId="16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0" fillId="8" borderId="49" xfId="0" applyFill="1" applyBorder="1" applyAlignment="1">
      <alignment horizontal="right" vertical="center"/>
    </xf>
    <xf numFmtId="0" fontId="25" fillId="9" borderId="15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textRotation="255"/>
    </xf>
    <xf numFmtId="14" fontId="31" fillId="0" borderId="0" xfId="0" applyNumberFormat="1" applyFont="1"/>
    <xf numFmtId="0" fontId="32" fillId="8" borderId="7" xfId="0" applyFont="1" applyFill="1" applyBorder="1" applyAlignment="1">
      <alignment horizontal="left" vertical="center"/>
    </xf>
    <xf numFmtId="0" fontId="26" fillId="9" borderId="0" xfId="0" applyFont="1" applyFill="1" applyAlignment="1">
      <alignment horizontal="center"/>
    </xf>
    <xf numFmtId="0" fontId="29" fillId="10" borderId="7" xfId="0" applyFont="1" applyFill="1" applyBorder="1" applyAlignment="1">
      <alignment horizontal="left" vertical="center"/>
    </xf>
    <xf numFmtId="0" fontId="3" fillId="8" borderId="54" xfId="0" applyFont="1" applyFill="1" applyBorder="1" applyAlignment="1">
      <alignment horizontal="right" vertical="center"/>
    </xf>
    <xf numFmtId="0" fontId="3" fillId="11" borderId="7" xfId="0" applyFont="1" applyFill="1" applyBorder="1" applyAlignment="1">
      <alignment horizontal="left" vertical="center"/>
    </xf>
    <xf numFmtId="3" fontId="33" fillId="11" borderId="28" xfId="0" applyNumberFormat="1" applyFont="1" applyFill="1" applyBorder="1" applyAlignment="1">
      <alignment horizontal="center" vertical="center"/>
    </xf>
    <xf numFmtId="3" fontId="34" fillId="11" borderId="54" xfId="0" applyNumberFormat="1" applyFont="1" applyFill="1" applyBorder="1" applyAlignment="1">
      <alignment horizontal="center" vertical="center"/>
    </xf>
    <xf numFmtId="0" fontId="24" fillId="11" borderId="28" xfId="0" applyFont="1" applyFill="1" applyBorder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11" borderId="54" xfId="0" applyFill="1" applyBorder="1" applyAlignment="1">
      <alignment horizontal="right" vertical="center"/>
    </xf>
    <xf numFmtId="0" fontId="10" fillId="10" borderId="7" xfId="0" applyFont="1" applyFill="1" applyBorder="1"/>
    <xf numFmtId="0" fontId="10" fillId="10" borderId="7" xfId="0" applyFont="1" applyFill="1" applyBorder="1" applyAlignment="1">
      <alignment horizontal="left" vertical="center"/>
    </xf>
    <xf numFmtId="0" fontId="20" fillId="3" borderId="19" xfId="0" applyFont="1" applyFill="1" applyBorder="1" applyAlignment="1">
      <alignment horizontal="center" vertical="center" textRotation="255"/>
    </xf>
    <xf numFmtId="0" fontId="20" fillId="3" borderId="40" xfId="0" applyFont="1" applyFill="1" applyBorder="1" applyAlignment="1">
      <alignment horizontal="center" vertical="center" textRotation="255"/>
    </xf>
    <xf numFmtId="0" fontId="3" fillId="12" borderId="17" xfId="0" applyFont="1" applyFill="1" applyBorder="1" applyAlignment="1">
      <alignment horizontal="left" vertical="center"/>
    </xf>
    <xf numFmtId="3" fontId="33" fillId="12" borderId="29" xfId="0" applyNumberFormat="1" applyFont="1" applyFill="1" applyBorder="1" applyAlignment="1">
      <alignment horizontal="center" vertical="center"/>
    </xf>
    <xf numFmtId="3" fontId="34" fillId="12" borderId="50" xfId="0" applyNumberFormat="1" applyFont="1" applyFill="1" applyBorder="1" applyAlignment="1">
      <alignment horizontal="center" vertical="center"/>
    </xf>
    <xf numFmtId="0" fontId="24" fillId="12" borderId="29" xfId="0" applyFont="1" applyFill="1" applyBorder="1" applyAlignment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 vertical="center"/>
    </xf>
    <xf numFmtId="0" fontId="0" fillId="12" borderId="50" xfId="0" applyFill="1" applyBorder="1" applyAlignment="1">
      <alignment horizontal="right" vertical="center"/>
    </xf>
    <xf numFmtId="0" fontId="30" fillId="10" borderId="17" xfId="0" applyFont="1" applyFill="1" applyBorder="1" applyAlignment="1">
      <alignment horizontal="right"/>
    </xf>
    <xf numFmtId="0" fontId="10" fillId="10" borderId="17" xfId="0" applyFont="1" applyFill="1" applyBorder="1"/>
    <xf numFmtId="0" fontId="10" fillId="10" borderId="17" xfId="0" applyFont="1" applyFill="1" applyBorder="1" applyAlignment="1">
      <alignment horizontal="left" vertical="center"/>
    </xf>
    <xf numFmtId="0" fontId="5" fillId="3" borderId="44" xfId="0" applyFont="1" applyFill="1" applyBorder="1" applyAlignment="1">
      <alignment horizontal="center" vertical="center" textRotation="255"/>
    </xf>
    <xf numFmtId="0" fontId="3" fillId="8" borderId="15" xfId="0" applyFont="1" applyFill="1" applyBorder="1" applyAlignment="1">
      <alignment horizontal="left" vertical="center"/>
    </xf>
    <xf numFmtId="0" fontId="10" fillId="10" borderId="15" xfId="0" applyFont="1" applyFill="1" applyBorder="1"/>
    <xf numFmtId="0" fontId="10" fillId="10" borderId="15" xfId="0" applyFont="1" applyFill="1" applyBorder="1" applyAlignment="1">
      <alignment horizontal="left" vertical="center"/>
    </xf>
    <xf numFmtId="0" fontId="5" fillId="3" borderId="63" xfId="0" applyFont="1" applyFill="1" applyBorder="1" applyAlignment="1">
      <alignment horizontal="center" vertical="center" textRotation="255"/>
    </xf>
    <xf numFmtId="0" fontId="4" fillId="3" borderId="7" xfId="0" applyFont="1" applyFill="1" applyBorder="1" applyAlignment="1">
      <alignment horizontal="center" vertical="center"/>
    </xf>
    <xf numFmtId="3" fontId="34" fillId="8" borderId="28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0" fillId="10" borderId="7" xfId="0" applyFill="1" applyBorder="1"/>
    <xf numFmtId="0" fontId="0" fillId="10" borderId="7" xfId="0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 vertical="center"/>
    </xf>
    <xf numFmtId="3" fontId="33" fillId="12" borderId="28" xfId="0" applyNumberFormat="1" applyFont="1" applyFill="1" applyBorder="1" applyAlignment="1">
      <alignment horizontal="center" vertical="center"/>
    </xf>
    <xf numFmtId="3" fontId="34" fillId="12" borderId="54" xfId="0" applyNumberFormat="1" applyFont="1" applyFill="1" applyBorder="1" applyAlignment="1">
      <alignment horizontal="center" vertical="center"/>
    </xf>
    <xf numFmtId="0" fontId="24" fillId="12" borderId="28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0" fillId="12" borderId="54" xfId="0" applyFill="1" applyBorder="1" applyAlignment="1">
      <alignment horizontal="right" vertical="center"/>
    </xf>
    <xf numFmtId="0" fontId="21" fillId="3" borderId="17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 textRotation="255"/>
    </xf>
    <xf numFmtId="0" fontId="3" fillId="11" borderId="17" xfId="0" applyFont="1" applyFill="1" applyBorder="1" applyAlignment="1">
      <alignment horizontal="left" vertical="center"/>
    </xf>
    <xf numFmtId="3" fontId="33" fillId="11" borderId="29" xfId="0" applyNumberFormat="1" applyFont="1" applyFill="1" applyBorder="1" applyAlignment="1">
      <alignment horizontal="center" vertical="center"/>
    </xf>
    <xf numFmtId="3" fontId="34" fillId="11" borderId="50" xfId="0" applyNumberFormat="1" applyFont="1" applyFill="1" applyBorder="1" applyAlignment="1">
      <alignment horizontal="center" vertical="center"/>
    </xf>
    <xf numFmtId="0" fontId="24" fillId="11" borderId="29" xfId="0" applyFont="1" applyFill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0" fillId="11" borderId="50" xfId="0" applyFill="1" applyBorder="1" applyAlignment="1">
      <alignment horizontal="right" vertical="center"/>
    </xf>
    <xf numFmtId="0" fontId="25" fillId="9" borderId="1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right"/>
    </xf>
    <xf numFmtId="3" fontId="24" fillId="8" borderId="65" xfId="0" applyNumberFormat="1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left" vertical="center"/>
    </xf>
    <xf numFmtId="0" fontId="0" fillId="8" borderId="16" xfId="0" applyFill="1" applyBorder="1" applyAlignment="1">
      <alignment horizontal="right" vertical="center"/>
    </xf>
    <xf numFmtId="0" fontId="0" fillId="10" borderId="15" xfId="0" applyFill="1" applyBorder="1"/>
    <xf numFmtId="0" fontId="35" fillId="10" borderId="7" xfId="0" applyFont="1" applyFill="1" applyBorder="1" applyAlignment="1">
      <alignment horizontal="left" vertical="center"/>
    </xf>
    <xf numFmtId="0" fontId="20" fillId="3" borderId="17" xfId="0" applyFont="1" applyFill="1" applyBorder="1" applyAlignment="1">
      <alignment horizontal="center" vertical="center"/>
    </xf>
    <xf numFmtId="0" fontId="22" fillId="8" borderId="28" xfId="0" applyFont="1" applyFill="1" applyBorder="1" applyAlignment="1">
      <alignment horizontal="left" vertical="center"/>
    </xf>
    <xf numFmtId="0" fontId="36" fillId="3" borderId="15" xfId="0" applyFont="1" applyFill="1" applyBorder="1" applyAlignment="1">
      <alignment horizontal="center" vertical="center" textRotation="255"/>
    </xf>
    <xf numFmtId="0" fontId="36" fillId="3" borderId="7" xfId="0" applyFont="1" applyFill="1" applyBorder="1" applyAlignment="1">
      <alignment horizontal="center" vertical="center" textRotation="255"/>
    </xf>
    <xf numFmtId="0" fontId="26" fillId="10" borderId="7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left" vertical="center"/>
    </xf>
    <xf numFmtId="0" fontId="3" fillId="11" borderId="28" xfId="0" applyFont="1" applyFill="1" applyBorder="1" applyAlignment="1">
      <alignment horizontal="left" vertical="center"/>
    </xf>
    <xf numFmtId="0" fontId="0" fillId="11" borderId="0" xfId="0" applyFill="1" applyAlignment="1">
      <alignment horizontal="right" vertical="center"/>
    </xf>
    <xf numFmtId="0" fontId="36" fillId="3" borderId="17" xfId="0" applyFont="1" applyFill="1" applyBorder="1" applyAlignment="1">
      <alignment horizontal="center" vertical="center" textRotation="255"/>
    </xf>
    <xf numFmtId="0" fontId="3" fillId="8" borderId="29" xfId="0" applyFont="1" applyFill="1" applyBorder="1" applyAlignment="1">
      <alignment horizontal="left" vertical="center"/>
    </xf>
    <xf numFmtId="0" fontId="21" fillId="3" borderId="2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textRotation="255"/>
    </xf>
    <xf numFmtId="0" fontId="21" fillId="3" borderId="2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textRotation="255"/>
    </xf>
    <xf numFmtId="0" fontId="3" fillId="8" borderId="16" xfId="0" applyFont="1" applyFill="1" applyBorder="1" applyAlignment="1">
      <alignment horizontal="left" vertical="center"/>
    </xf>
    <xf numFmtId="0" fontId="25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5" fillId="3" borderId="17" xfId="0" applyFont="1" applyFill="1" applyBorder="1" applyAlignment="1">
      <alignment horizontal="center" vertical="center" textRotation="255"/>
    </xf>
    <xf numFmtId="0" fontId="25" fillId="9" borderId="1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255"/>
    </xf>
    <xf numFmtId="0" fontId="5" fillId="3" borderId="53" xfId="0" applyFont="1" applyFill="1" applyBorder="1" applyAlignment="1">
      <alignment horizontal="center" vertical="center" textRotation="255"/>
    </xf>
    <xf numFmtId="0" fontId="37" fillId="8" borderId="28" xfId="0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5" fillId="10" borderId="15" xfId="0" applyFont="1" applyFill="1" applyBorder="1" applyAlignment="1">
      <alignment horizontal="left" vertical="center"/>
    </xf>
    <xf numFmtId="0" fontId="20" fillId="3" borderId="64" xfId="0" applyFont="1" applyFill="1" applyBorder="1" applyAlignment="1">
      <alignment horizontal="center" vertical="center"/>
    </xf>
    <xf numFmtId="3" fontId="23" fillId="8" borderId="29" xfId="0" applyNumberFormat="1" applyFont="1" applyFill="1" applyBorder="1" applyAlignment="1">
      <alignment horizontal="center" vertical="center"/>
    </xf>
    <xf numFmtId="3" fontId="24" fillId="8" borderId="50" xfId="0" applyNumberFormat="1" applyFont="1" applyFill="1" applyBorder="1" applyAlignment="1">
      <alignment horizontal="center" vertical="center"/>
    </xf>
    <xf numFmtId="0" fontId="0" fillId="8" borderId="18" xfId="0" applyFill="1" applyBorder="1" applyAlignment="1">
      <alignment horizontal="right" vertical="center"/>
    </xf>
    <xf numFmtId="0" fontId="0" fillId="10" borderId="17" xfId="0" applyFill="1" applyBorder="1"/>
    <xf numFmtId="0" fontId="35" fillId="10" borderId="17" xfId="0" applyFont="1" applyFill="1" applyBorder="1" applyAlignment="1">
      <alignment horizontal="left" vertical="center"/>
    </xf>
    <xf numFmtId="0" fontId="20" fillId="3" borderId="54" xfId="1" applyFont="1" applyFill="1" applyBorder="1" applyAlignment="1">
      <alignment horizontal="center"/>
    </xf>
    <xf numFmtId="0" fontId="0" fillId="10" borderId="15" xfId="0" applyFill="1" applyBorder="1" applyAlignment="1">
      <alignment horizontal="right"/>
    </xf>
    <xf numFmtId="0" fontId="0" fillId="9" borderId="26" xfId="0" applyFill="1" applyBorder="1"/>
    <xf numFmtId="0" fontId="0" fillId="9" borderId="28" xfId="0" applyFill="1" applyBorder="1"/>
    <xf numFmtId="0" fontId="0" fillId="0" borderId="0" xfId="0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8" xfId="0" applyFont="1" applyBorder="1"/>
    <xf numFmtId="0" fontId="22" fillId="0" borderId="9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35" fillId="0" borderId="9" xfId="0" applyFont="1" applyBorder="1" applyAlignment="1">
      <alignment horizontal="right"/>
    </xf>
    <xf numFmtId="49" fontId="3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right"/>
    </xf>
    <xf numFmtId="49" fontId="0" fillId="0" borderId="68" xfId="0" applyNumberFormat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13" xfId="0" applyFont="1" applyBorder="1"/>
    <xf numFmtId="0" fontId="22" fillId="0" borderId="14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35" fillId="0" borderId="14" xfId="0" applyFont="1" applyBorder="1" applyAlignment="1">
      <alignment horizontal="right"/>
    </xf>
    <xf numFmtId="49" fontId="3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right"/>
    </xf>
    <xf numFmtId="49" fontId="0" fillId="0" borderId="70" xfId="0" applyNumberFormat="1" applyBorder="1" applyAlignment="1">
      <alignment horizontal="center"/>
    </xf>
    <xf numFmtId="0" fontId="0" fillId="8" borderId="39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19" xfId="0" applyFont="1" applyBorder="1"/>
    <xf numFmtId="0" fontId="22" fillId="0" borderId="21" xfId="0" applyFont="1" applyBorder="1" applyAlignment="1">
      <alignment horizontal="right"/>
    </xf>
    <xf numFmtId="0" fontId="0" fillId="0" borderId="21" xfId="0" applyBorder="1" applyAlignment="1">
      <alignment horizontal="center"/>
    </xf>
    <xf numFmtId="0" fontId="35" fillId="0" borderId="21" xfId="0" applyFont="1" applyBorder="1" applyAlignment="1">
      <alignment horizontal="right"/>
    </xf>
    <xf numFmtId="49" fontId="3" fillId="0" borderId="21" xfId="0" applyNumberFormat="1" applyFont="1" applyBorder="1" applyAlignment="1">
      <alignment horizontal="center"/>
    </xf>
    <xf numFmtId="0" fontId="0" fillId="0" borderId="21" xfId="0" applyBorder="1" applyAlignment="1">
      <alignment horizontal="right"/>
    </xf>
    <xf numFmtId="49" fontId="0" fillId="0" borderId="71" xfId="0" applyNumberFormat="1" applyBorder="1" applyAlignment="1">
      <alignment horizontal="center"/>
    </xf>
    <xf numFmtId="0" fontId="0" fillId="8" borderId="71" xfId="0" applyFill="1" applyBorder="1" applyAlignment="1">
      <alignment horizontal="center" vertical="center"/>
    </xf>
    <xf numFmtId="0" fontId="3" fillId="0" borderId="11" xfId="0" applyFont="1" applyBorder="1"/>
    <xf numFmtId="0" fontId="22" fillId="0" borderId="24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35" fillId="0" borderId="24" xfId="0" applyFont="1" applyBorder="1" applyAlignment="1">
      <alignment horizontal="right"/>
    </xf>
    <xf numFmtId="49" fontId="3" fillId="0" borderId="24" xfId="0" applyNumberFormat="1" applyFont="1" applyBorder="1" applyAlignment="1">
      <alignment horizontal="center"/>
    </xf>
    <xf numFmtId="0" fontId="0" fillId="0" borderId="24" xfId="0" applyBorder="1" applyAlignment="1">
      <alignment horizontal="right"/>
    </xf>
    <xf numFmtId="49" fontId="0" fillId="0" borderId="24" xfId="0" applyNumberFormat="1" applyBorder="1" applyAlignment="1">
      <alignment horizontal="right"/>
    </xf>
    <xf numFmtId="49" fontId="0" fillId="0" borderId="72" xfId="0" applyNumberFormat="1" applyBorder="1" applyAlignment="1">
      <alignment horizontal="center"/>
    </xf>
    <xf numFmtId="0" fontId="3" fillId="0" borderId="7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2" xfId="0" applyFont="1" applyBorder="1"/>
    <xf numFmtId="0" fontId="22" fillId="0" borderId="25" xfId="0" applyFont="1" applyBorder="1" applyAlignment="1">
      <alignment horizontal="right"/>
    </xf>
    <xf numFmtId="0" fontId="0" fillId="0" borderId="25" xfId="0" applyBorder="1" applyAlignment="1">
      <alignment horizontal="center"/>
    </xf>
    <xf numFmtId="0" fontId="35" fillId="0" borderId="25" xfId="0" applyFont="1" applyBorder="1" applyAlignment="1">
      <alignment horizontal="right"/>
    </xf>
    <xf numFmtId="49" fontId="3" fillId="0" borderId="25" xfId="0" applyNumberFormat="1" applyFont="1" applyBorder="1" applyAlignment="1">
      <alignment horizontal="center"/>
    </xf>
    <xf numFmtId="0" fontId="0" fillId="0" borderId="25" xfId="0" applyBorder="1" applyAlignment="1">
      <alignment horizontal="right"/>
    </xf>
    <xf numFmtId="49" fontId="0" fillId="0" borderId="75" xfId="0" applyNumberFormat="1" applyBorder="1" applyAlignment="1">
      <alignment horizontal="center"/>
    </xf>
    <xf numFmtId="0" fontId="0" fillId="8" borderId="43" xfId="0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3" fillId="0" borderId="3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right"/>
    </xf>
    <xf numFmtId="0" fontId="0" fillId="13" borderId="14" xfId="0" applyFill="1" applyBorder="1"/>
    <xf numFmtId="0" fontId="0" fillId="14" borderId="14" xfId="0" applyFill="1" applyBorder="1"/>
    <xf numFmtId="0" fontId="0" fillId="15" borderId="14" xfId="0" applyFill="1" applyBorder="1"/>
    <xf numFmtId="0" fontId="3" fillId="0" borderId="4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5" borderId="25" xfId="0" applyFill="1" applyBorder="1"/>
    <xf numFmtId="49" fontId="0" fillId="0" borderId="25" xfId="0" applyNumberFormat="1" applyBorder="1" applyAlignment="1">
      <alignment horizontal="right"/>
    </xf>
    <xf numFmtId="0" fontId="0" fillId="13" borderId="25" xfId="0" applyFill="1" applyBorder="1"/>
    <xf numFmtId="0" fontId="3" fillId="0" borderId="49" xfId="0" applyFont="1" applyBorder="1" applyAlignment="1">
      <alignment horizontal="center" vertical="center"/>
    </xf>
    <xf numFmtId="0" fontId="2" fillId="6" borderId="12" xfId="0" applyFont="1" applyFill="1" applyBorder="1"/>
    <xf numFmtId="0" fontId="3" fillId="13" borderId="39" xfId="0" applyFont="1" applyFill="1" applyBorder="1"/>
    <xf numFmtId="0" fontId="3" fillId="13" borderId="43" xfId="0" applyFont="1" applyFill="1" applyBorder="1"/>
  </cellXfs>
  <cellStyles count="2">
    <cellStyle name="Cálculo" xfId="1" builtinId="22"/>
    <cellStyle name="Normal" xfId="0" builtinId="0"/>
  </cellStyles>
  <dxfs count="177"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strike val="0"/>
        <color auto="1"/>
      </font>
      <fill>
        <gradientFill degree="45">
          <stop position="0">
            <color theme="0"/>
          </stop>
          <stop position="1">
            <color rgb="FFFF000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gradientFill degree="225">
          <stop position="0">
            <color theme="0"/>
          </stop>
          <stop position="1">
            <color rgb="FFC0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ist_seguridad" id="{6511D155-F791-492A-92E5-7D6992FB2C6D}" userId="S::asist_seguridad@ganepalmira.com.co::10243ce4-b005-47c7-8606-f9a90c9e93b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7-18T14:51:22.97" personId="{6511D155-F791-492A-92E5-7D6992FB2C6D}" id="{FDEC246B-18BB-46AE-929E-966A8DF2660B}">
    <text>NVR EI, DD 4TB, Switch POE, 1 Cam3441RP, 1 Cam 2441 EP SMD, UPS, REGULADOR Y RACK</text>
  </threadedComment>
  <threadedComment ref="G4" dT="2025-07-18T16:10:47.06" personId="{6511D155-F791-492A-92E5-7D6992FB2C6D}" id="{04E453D5-E3F8-4DCA-A1AF-4C5CBD8AFF9C}">
    <text>Cámara IA detección de rostros, UPS y Rack</text>
  </threadedComment>
  <threadedComment ref="C5" dT="2025-07-29T13:25:46.31" personId="{6511D155-F791-492A-92E5-7D6992FB2C6D}" id="{97DBDFBD-D912-4489-AB07-85AB1C74E451}">
    <text>Se instalaron los equipos retirados del punto Mercedes I</text>
  </threadedComment>
  <threadedComment ref="D5" dT="2025-07-18T14:51:22.97" personId="{6511D155-F791-492A-92E5-7D6992FB2C6D}" id="{5E4C55AF-F39D-47FB-A294-AA4594BE0A4E}">
    <text>NVR EI, DD 4TB, Switch POE, 1 Cam3441RP, 1 Cam 2441 EP SMD, UPS, REGULADOR Y RACK</text>
  </threadedComment>
  <threadedComment ref="G5" dT="2025-07-18T16:10:47.06" personId="{6511D155-F791-492A-92E5-7D6992FB2C6D}" id="{B9B3291A-508D-4297-B539-C09A647D54B1}">
    <text>Cámara IA detección de rostros, UPS y Rack</text>
  </threadedComment>
  <threadedComment ref="C6" dT="2025-10-03T13:35:02.46" personId="{6511D155-F791-492A-92E5-7D6992FB2C6D}" id="{595B6062-D7AB-476D-8337-AC00BB8AD14C}">
    <text xml:space="preserve">Se instaló con los equipos desmontados del punto Droguería Prado </text>
  </threadedComment>
  <threadedComment ref="D6" dT="2025-07-18T14:51:22.97" personId="{6511D155-F791-492A-92E5-7D6992FB2C6D}" id="{7F348075-5AB6-421E-89DE-3C5AB197D2C9}">
    <text>NVR EI, DD 4TB, Switch POE, 1 Cam3441RP, 1 Cam 2441 EP SMD, UPS, REGULADOR Y RACK</text>
  </threadedComment>
  <threadedComment ref="G6" dT="2025-07-18T16:10:47.06" personId="{6511D155-F791-492A-92E5-7D6992FB2C6D}" id="{3B62336A-263D-4BB4-A514-FD1BFD6558C0}">
    <text>Cámara IA detección de rostros, UPS y Rack</text>
  </threadedComment>
  <threadedComment ref="B7" dT="2025-09-09T13:42:45.50" personId="{6511D155-F791-492A-92E5-7D6992FB2C6D}" id="{EE1A7334-EA05-4E35-9128-69CB2772E078}">
    <text>Se realizó instalación de CCTV con IA</text>
  </threadedComment>
  <threadedComment ref="D7" dT="2025-07-18T14:51:22.97" personId="{6511D155-F791-492A-92E5-7D6992FB2C6D}" id="{3A24360C-DB2D-4CAF-B25F-55C99BC0CDEB}">
    <text>NVR EI, DD 4TB, Switch POE, 1 Cam3441RP, 1 Cam 2441 EP SMD, UPS, REGULADOR Y RACK</text>
  </threadedComment>
  <threadedComment ref="G7" dT="2025-07-18T16:10:47.06" personId="{6511D155-F791-492A-92E5-7D6992FB2C6D}" id="{83A1A6A5-12CA-4170-830A-0DCC3743E7AA}">
    <text>Cámara IA SMD, UPS y Rack</text>
  </threadedComment>
  <threadedComment ref="D8" dT="2025-07-18T14:51:22.97" personId="{6511D155-F791-492A-92E5-7D6992FB2C6D}" id="{77E876C5-5B17-46CB-ADB4-26935E438405}">
    <text>NVR EI, DD 4TB, Switch POE, 1 Cam3441RP, 1 Cam 2441 EP SMD, UPS, REGULADOR Y RACK</text>
  </threadedComment>
  <threadedComment ref="G8" dT="2025-07-18T16:10:47.06" personId="{6511D155-F791-492A-92E5-7D6992FB2C6D}" id="{8FDA1A0E-A01C-4E2E-A90B-1621A89C972E}">
    <text>Cámara IA detección de rostros, UPS y Rack</text>
  </threadedComment>
  <threadedComment ref="D9" dT="2025-07-18T14:51:22.97" personId="{6511D155-F791-492A-92E5-7D6992FB2C6D}" id="{1E2BF0D5-3424-42F8-9DD1-2CCB6A1F3C65}">
    <text>NVR EI, DD 4TB, Switch POE, 1 Cam3441RP, 1 Cam 2441 EP SMD, UPS, REGULADOR Y RACK</text>
  </threadedComment>
  <threadedComment ref="G9" dT="2025-07-18T16:10:47.06" personId="{6511D155-F791-492A-92E5-7D6992FB2C6D}" id="{F408BB7F-D8A0-4677-B837-63EF7BE05293}">
    <text>Cámara IA SMD, UPS y Rack</text>
  </threadedComment>
  <threadedComment ref="D10" dT="2025-07-18T14:51:22.97" personId="{6511D155-F791-492A-92E5-7D6992FB2C6D}" id="{231DCF84-8481-4D33-A817-1A58CD1394E3}">
    <text>NVR EI, DD 4TB, Switch POE, 1 Cam3441RP, 1 Cam 2441 EP SMD, UPS, REGULADOR Y RACK</text>
  </threadedComment>
  <threadedComment ref="G10" dT="2025-07-18T16:10:47.06" personId="{6511D155-F791-492A-92E5-7D6992FB2C6D}" id="{A56338A6-D059-4985-A78E-FA6CDEA9E5A8}">
    <text>Cámara IA detección de rostros, UPS y Rack</text>
  </threadedComment>
  <threadedComment ref="D11" dT="2025-07-18T14:51:22.97" personId="{6511D155-F791-492A-92E5-7D6992FB2C6D}" id="{8A264A1D-8BEB-419B-A1CE-E0EBFE873C1E}">
    <text>NVR EI, DD 4TB, Switch POE, 4 Cam 2441 EP SMD, UPS, REGULADOR Y RACK</text>
  </threadedComment>
  <threadedComment ref="G11" dT="2025-07-18T16:10:47.06" personId="{6511D155-F791-492A-92E5-7D6992FB2C6D}" id="{E2A3FB98-3946-44EC-A47A-32F223422924}">
    <text>Cámara IA detección de rostros, UPS y Rack</text>
  </threadedComment>
  <threadedComment ref="D12" dT="2025-07-18T14:51:22.97" personId="{6511D155-F791-492A-92E5-7D6992FB2C6D}" id="{DCCDAF73-943F-4F35-B277-6C3578C82F54}">
    <text>NVR EI, DD 4TB, Switch POE, 1 Cam3441RP, 1 Cam 2441 EP SMD, UPS, REGULADOR Y RACK</text>
  </threadedComment>
  <threadedComment ref="G12" dT="2025-07-18T16:10:47.06" personId="{6511D155-F791-492A-92E5-7D6992FB2C6D}" id="{7984C904-BC48-4966-AD43-D39F1F59CA41}">
    <text>Cámara IA detección de rostros, UPS y Rack</text>
  </threadedComment>
  <threadedComment ref="D13" dT="2025-07-18T14:51:22.97" personId="{6511D155-F791-492A-92E5-7D6992FB2C6D}" id="{89F02A67-2D4A-44A5-9DAC-E865FF5BCE7C}">
    <text>NVR EI, DD 4TB, Switch POE, 1 Cam3441RP, 1 Cam 2441 EP SMD, UPS, REGULADOR Y RACK</text>
  </threadedComment>
  <threadedComment ref="G13" dT="2025-07-18T16:10:47.06" personId="{6511D155-F791-492A-92E5-7D6992FB2C6D}" id="{960BEE91-1E84-4B06-81D6-3A15290DC610}">
    <text>Cámara IA SMD, UPS y Rack</text>
  </threadedComment>
  <threadedComment ref="D14" dT="2025-07-18T14:51:22.97" personId="{6511D155-F791-492A-92E5-7D6992FB2C6D}" id="{B36B0D66-A116-4936-A54E-F29C1193679D}">
    <text>NVR EI, DD 4TB, Switch POE, 1 Cam3441RP, 1 Cam 2441 EP SMD, UPS, REGULADOR Y RACK</text>
  </threadedComment>
  <threadedComment ref="G14" dT="2025-07-18T16:10:47.06" personId="{6511D155-F791-492A-92E5-7D6992FB2C6D}" id="{5580D3AD-AF41-42D0-AFC5-25377B36D095}">
    <text>Cámara IA SMD, UPS y Rack</text>
  </threadedComment>
  <threadedComment ref="D15" dT="2025-07-18T14:51:22.97" personId="{6511D155-F791-492A-92E5-7D6992FB2C6D}" id="{517D4138-D9A4-470B-9999-2EA2E04F11B3}">
    <text>NVR EI, Switch POE, 1 Cam3441RP, 1 Cam 2441 EP SMD</text>
  </threadedComment>
  <threadedComment ref="G15" dT="2025-07-18T16:10:47.06" personId="{6511D155-F791-492A-92E5-7D6992FB2C6D}" id="{F442DD85-ADBC-442A-8683-C20486CA9B89}">
    <text>Cámara IA SMD, UPS y Rack</text>
  </threadedComment>
  <threadedComment ref="D16" dT="2025-07-18T14:51:22.97" personId="{6511D155-F791-492A-92E5-7D6992FB2C6D}" id="{760C5696-0965-4546-993C-4CC8F70FD95E}">
    <text>NVR EI, Switch POE, 1 Cam3441RP, 1 Cam 2441 EP SMD</text>
  </threadedComment>
  <threadedComment ref="G16" dT="2025-07-18T16:10:47.06" personId="{6511D155-F791-492A-92E5-7D6992FB2C6D}" id="{47F6A378-EF54-45C6-A399-6EDACAB72F47}">
    <text>Cámara IA SMD, UPS y Rack</text>
  </threadedComment>
  <threadedComment ref="D17" dT="2025-07-18T14:51:22.97" personId="{6511D155-F791-492A-92E5-7D6992FB2C6D}" id="{9B139033-F3F6-49A7-8D31-5F8326A31140}">
    <text>NVR EI, DD 4TB, Switch POE, 1 Cam3441RP, 1 Cam 2441 EP SMD, UPS, REGULADOR Y RACK</text>
  </threadedComment>
  <threadedComment ref="G17" dT="2025-07-18T16:10:47.06" personId="{6511D155-F791-492A-92E5-7D6992FB2C6D}" id="{C686A18B-3E15-400B-8A6C-E147D218230D}">
    <text>Cámara IA SMD, UPS y Rack</text>
  </threadedComment>
  <threadedComment ref="D18" dT="2025-07-18T14:51:22.97" personId="{6511D155-F791-492A-92E5-7D6992FB2C6D}" id="{F628022A-8384-49F6-AD65-B42713F0260D}">
    <text>NVR EI, Switch POE, 1 Cam3441RP, 1 Cam 2441 EP SMD</text>
  </threadedComment>
  <threadedComment ref="G18" dT="2025-07-18T16:10:47.06" personId="{6511D155-F791-492A-92E5-7D6992FB2C6D}" id="{F741F470-3E67-4133-B119-0575ADBB34B5}">
    <text>Cámara IA SMD, UPS y Rack</text>
  </threadedComment>
  <threadedComment ref="C19" dT="2025-09-15T20:19:35.10" personId="{6511D155-F791-492A-92E5-7D6992FB2C6D}" id="{93A7F511-C378-4502-B0E8-ADEDC989BEF0}">
    <text xml:space="preserve">Se instalaron los equipos desmontados del punto 19 con 37 </text>
  </threadedComment>
  <threadedComment ref="D19" dT="2025-07-18T14:51:22.97" personId="{6511D155-F791-492A-92E5-7D6992FB2C6D}" id="{7C72A915-77BD-43EA-B48F-4BDCBEB1C542}">
    <text>NVR EI, DD 4TB, Switch POE, 1 Cam3441RP, 1 Cam 2441 EP SMD, UPS, REGULADOR Y RACK</text>
  </threadedComment>
  <threadedComment ref="D20" dT="2025-07-18T14:51:22.97" personId="{6511D155-F791-492A-92E5-7D6992FB2C6D}" id="{E49C69CB-9F5D-4A58-B50D-6065DA1AA7B0}">
    <text>NVR EI, Switch POE, 1 Cam3441RP, 1 Cam 2441 EP SMD</text>
  </threadedComment>
  <threadedComment ref="G20" dT="2025-07-18T16:10:47.06" personId="{6511D155-F791-492A-92E5-7D6992FB2C6D}" id="{510918D6-51C5-43FA-BC34-022A6325C8A2}">
    <text>Cámara IA detección de rostros, UPS y Rack</text>
  </threadedComment>
  <threadedComment ref="D22" dT="2025-07-18T14:51:22.97" personId="{6511D155-F791-492A-92E5-7D6992FB2C6D}" id="{6C7B6C1F-3965-4142-BF16-D475693ED5A9}">
    <text>NVR EI, DD 4TB, Switch POE, 1 Cam3441RP, 1 Cam 2441 EP SMD, UPS, REGULADOR Y RACK</text>
  </threadedComment>
  <threadedComment ref="G22" dT="2025-07-18T16:10:47.06" personId="{6511D155-F791-492A-92E5-7D6992FB2C6D}" id="{8E3820DE-ABCE-4FE3-95A1-C1DB0B92DB7A}">
    <text>Cámara IA detección de rostros, UPS y Rack</text>
  </threadedComment>
  <threadedComment ref="D24" dT="2025-07-18T14:51:22.97" personId="{6511D155-F791-492A-92E5-7D6992FB2C6D}" id="{C4FC9099-1268-4570-906C-44FF417FE06F}">
    <text>NVR EI, Switch POE, 4 Cam 2441 EP</text>
  </threadedComment>
  <threadedComment ref="G24" dT="2025-07-18T16:10:47.06" personId="{6511D155-F791-492A-92E5-7D6992FB2C6D}" id="{C892BD64-99B7-4815-A225-0580046B4928}">
    <text>Cámara IA SMD, UPS y Rack</text>
  </threadedComment>
  <threadedComment ref="D26" dT="2025-07-18T14:51:22.97" personId="{6511D155-F791-492A-92E5-7D6992FB2C6D}" id="{A839703F-D33C-4271-827A-DB08ADB0910C}">
    <text>NVR EI, Switch POE, 8 Cam 2441 EP</text>
  </threadedComment>
  <threadedComment ref="G26" dT="2025-07-18T16:10:47.06" personId="{6511D155-F791-492A-92E5-7D6992FB2C6D}" id="{0A46F162-2667-4495-B0AB-7FE5B2F9B545}">
    <text>Cámara IA SMD, UPS y Rack</text>
  </threadedComment>
  <threadedComment ref="D27" dT="2025-07-18T14:51:22.97" personId="{6511D155-F791-492A-92E5-7D6992FB2C6D}" id="{9719EFF6-4708-4AB2-BA67-D8267B66E5E5}">
    <text>NVR EI, DD 4TB, Switch POE, 1 Cam3441RP, 1 Cam 2441 EP SMD, UPS, REGULADOR Y RACK</text>
  </threadedComment>
  <threadedComment ref="G27" dT="2025-07-18T16:10:47.06" personId="{6511D155-F791-492A-92E5-7D6992FB2C6D}" id="{CBA1DD29-825C-4396-AE0D-4D4207A903FE}">
    <text>Cámara IA SMD, UPS y Rack</text>
  </threadedComment>
  <threadedComment ref="D29" dT="2025-07-18T14:51:22.97" personId="{6511D155-F791-492A-92E5-7D6992FB2C6D}" id="{3AA265A2-38DC-4728-86E4-64B27C8CFD63}">
    <text>NVR EI</text>
  </threadedComment>
  <threadedComment ref="G29" dT="2025-07-18T16:10:47.06" personId="{6511D155-F791-492A-92E5-7D6992FB2C6D}" id="{C5C2D776-0C9A-48EA-A7D5-DF4DE72249A3}">
    <text>Cámara IA SMD, UPS y Rack</text>
  </threadedComment>
  <threadedComment ref="G30" dT="2025-07-18T16:10:47.06" personId="{6511D155-F791-492A-92E5-7D6992FB2C6D}" id="{212C2C0A-FE35-4B46-B942-39723C080E81}">
    <text>Cámara IA SMD, UPS y Rack</text>
  </threadedComment>
  <threadedComment ref="D31" dT="2025-07-18T14:51:22.97" personId="{6511D155-F791-492A-92E5-7D6992FB2C6D}" id="{4B5F5FFE-372D-42CA-A6DF-9E9C3C232AE2}">
    <text>NVR EI, Switch POE, 8 Cam 2441 EP</text>
  </threadedComment>
  <threadedComment ref="D32" dT="2025-07-18T14:51:22.97" personId="{6511D155-F791-492A-92E5-7D6992FB2C6D}" id="{69DDC1A4-B779-4662-A096-A3A2EEAD50CA}">
    <text>NVR EI, DD 4TB, Switch POE, 1 Cam3441RP, 2 Cam 2441 EP SMD, UPS, REGULADOR</text>
  </threadedComment>
  <threadedComment ref="G32" dT="2025-07-18T16:10:47.06" personId="{6511D155-F791-492A-92E5-7D6992FB2C6D}" id="{484480BB-6180-424F-8C5E-A4CA24CE56ED}">
    <text>Cámara IA SMD, UPS y Rack</text>
  </threadedComment>
  <threadedComment ref="D33" dT="2025-07-18T14:51:22.97" personId="{6511D155-F791-492A-92E5-7D6992FB2C6D}" id="{0A4C8231-CED0-40E9-B3D4-FF85FC32D676}">
    <text>NVR EI, DD 4TB, Switch POE, 1 Cam3441RP, 1 Cam 2441 EP SMD, UPS, REGULADOR Y RACK</text>
  </threadedComment>
  <threadedComment ref="G34" dT="2025-07-18T16:10:47.06" personId="{6511D155-F791-492A-92E5-7D6992FB2C6D}" id="{2E6AF32D-AF79-4E21-9B2A-A040D988594E}">
    <text>Cámara IA SMD, UPS y Rack</text>
  </threadedComment>
  <threadedComment ref="D35" dT="2025-07-18T14:51:22.97" personId="{6511D155-F791-492A-92E5-7D6992FB2C6D}" id="{A4728F5F-03EE-42D4-B49A-1F18AB8C6E78}">
    <text>NVR EI, Switch POE, 10 Cam 2441 EP</text>
  </threadedComment>
  <threadedComment ref="D36" dT="2025-07-18T14:51:22.97" personId="{6511D155-F791-492A-92E5-7D6992FB2C6D}" id="{9573AEF6-040F-49CE-A088-EF91ACBADE43}">
    <text>NVR EI, DD 4TB, Switch POE, 1 Cam3441RP, 1 Cam 2441 EP SMD, UPS, REGULADOR Y RACK</text>
  </threadedComment>
  <threadedComment ref="D37" dT="2025-07-18T14:51:22.97" personId="{6511D155-F791-492A-92E5-7D6992FB2C6D}" id="{FBEBBF1F-BDA9-4858-9662-E9119C4F2FE0}">
    <text>NVR EI, DD 4TB, Switch POE, 1 Cam3441RP, 1 Cam 2441 EP SMD, UPS, REGULADOR Y RACK</text>
  </threadedComment>
  <threadedComment ref="D38" dT="2025-07-18T14:51:22.97" personId="{6511D155-F791-492A-92E5-7D6992FB2C6D}" id="{9BAA599A-9750-4707-BC57-81AAC128B47B}">
    <text>NVR EI, DD 4TB, Switch POE, 1 Cam3441RP, 1 Cam 2441 EP SMD, UPS, REGULADOR Y RACK</text>
  </threadedComment>
  <threadedComment ref="D39" dT="2025-07-18T14:51:22.97" personId="{6511D155-F791-492A-92E5-7D6992FB2C6D}" id="{204B8276-5DA1-4B3F-9466-4B0B72A9EF60}">
    <text>NVR EI, DD 4TB, Switch POE, 1 Cam3441RP, 1 Cam 2441 EP SMD, UPS, REGULADOR Y RACK</text>
  </threadedComment>
  <threadedComment ref="D41" dT="2025-07-18T16:10:47.06" personId="{6511D155-F791-492A-92E5-7D6992FB2C6D}" id="{14B77673-0E9A-481C-B34A-98FD5E99B784}">
    <text>Cámara IA, UPS y Rack</text>
  </threadedComment>
  <threadedComment ref="D42" dT="2025-07-18T14:51:22.97" personId="{6511D155-F791-492A-92E5-7D6992FB2C6D}" id="{BE19E7EB-F6AA-43F3-9CE6-C5D7CBD05D07}">
    <text>NVR EI, DD 4TB, Switch POE, 1 Cam3441RP, 1 Cam 2441 EP SMD, UPS, REGULADOR Y RACK</text>
  </threadedComment>
  <threadedComment ref="D43" dT="2025-07-18T14:51:22.97" personId="{6511D155-F791-492A-92E5-7D6992FB2C6D}" id="{5A41B4F3-EDE6-4D25-AFE0-EE1C4C43FE11}">
    <text>NVR EI</text>
  </threadedComment>
  <threadedComment ref="D44" dT="2025-07-18T14:51:22.97" personId="{6511D155-F791-492A-92E5-7D6992FB2C6D}" id="{31BB96DE-E4C0-43E6-AD09-613BEAD2885B}">
    <text>NVR EI, DD 4TB, Switch POE, 1 Cam3441RP, 1 Cam 2441 EP SMD, UPS, REGULADOR Y RACK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5323-45FA-40EE-BE36-2022CA975B86}">
  <dimension ref="B1:N59"/>
  <sheetViews>
    <sheetView topLeftCell="A15" workbookViewId="0">
      <selection activeCell="E11" sqref="E11"/>
    </sheetView>
  </sheetViews>
  <sheetFormatPr baseColWidth="10" defaultRowHeight="15" x14ac:dyDescent="0.25"/>
  <cols>
    <col min="1" max="1" width="5.85546875" customWidth="1"/>
    <col min="2" max="2" width="36.42578125" bestFit="1" customWidth="1"/>
    <col min="3" max="3" width="37.7109375" bestFit="1" customWidth="1"/>
    <col min="4" max="4" width="11.5703125" bestFit="1" customWidth="1"/>
    <col min="6" max="6" width="28.5703125" bestFit="1" customWidth="1"/>
    <col min="7" max="7" width="11.5703125" bestFit="1" customWidth="1"/>
    <col min="9" max="9" width="8.42578125" bestFit="1" customWidth="1"/>
    <col min="10" max="10" width="40.7109375" bestFit="1" customWidth="1"/>
    <col min="11" max="11" width="17.5703125" bestFit="1" customWidth="1"/>
  </cols>
  <sheetData>
    <row r="1" spans="2:11" ht="15.75" thickBot="1" x14ac:dyDescent="0.3"/>
    <row r="2" spans="2:11" ht="16.5" thickBot="1" x14ac:dyDescent="0.3">
      <c r="B2" s="1" t="s">
        <v>0</v>
      </c>
      <c r="C2" s="2" t="s">
        <v>1</v>
      </c>
      <c r="D2" s="3" t="s">
        <v>2</v>
      </c>
      <c r="F2" s="1" t="s">
        <v>3</v>
      </c>
      <c r="G2" s="3" t="s">
        <v>2</v>
      </c>
      <c r="I2" s="4" t="s">
        <v>4</v>
      </c>
      <c r="J2" s="5" t="s">
        <v>5</v>
      </c>
      <c r="K2" s="6" t="s">
        <v>2</v>
      </c>
    </row>
    <row r="3" spans="2:11" ht="16.5" thickBot="1" x14ac:dyDescent="0.3">
      <c r="B3" s="7" t="s">
        <v>6</v>
      </c>
      <c r="C3" s="8"/>
      <c r="D3" s="9"/>
      <c r="F3" s="7" t="s">
        <v>6</v>
      </c>
      <c r="G3" s="9"/>
      <c r="I3" s="10">
        <v>31</v>
      </c>
      <c r="J3" t="s">
        <v>6</v>
      </c>
      <c r="K3" s="11">
        <v>61818934</v>
      </c>
    </row>
    <row r="4" spans="2:11" x14ac:dyDescent="0.25">
      <c r="B4" s="12" t="s">
        <v>7</v>
      </c>
      <c r="C4" s="13" t="s">
        <v>8</v>
      </c>
      <c r="D4" s="14">
        <v>3482996</v>
      </c>
      <c r="F4" s="15" t="s">
        <v>9</v>
      </c>
      <c r="G4" s="16">
        <v>1982000</v>
      </c>
      <c r="I4" s="10">
        <v>1</v>
      </c>
      <c r="J4" t="s">
        <v>10</v>
      </c>
      <c r="K4" s="11">
        <v>6158000</v>
      </c>
    </row>
    <row r="5" spans="2:11" x14ac:dyDescent="0.25">
      <c r="B5" s="17" t="s">
        <v>11</v>
      </c>
      <c r="C5" s="18" t="s">
        <v>12</v>
      </c>
      <c r="D5" s="14">
        <v>3482996</v>
      </c>
      <c r="F5" s="19" t="s">
        <v>13</v>
      </c>
      <c r="G5" s="14">
        <v>1982000</v>
      </c>
      <c r="I5" s="10">
        <v>3</v>
      </c>
      <c r="J5" t="s">
        <v>14</v>
      </c>
      <c r="K5" s="11">
        <v>10966996</v>
      </c>
    </row>
    <row r="6" spans="2:11" x14ac:dyDescent="0.25">
      <c r="B6" s="17" t="s">
        <v>15</v>
      </c>
      <c r="C6" s="18" t="s">
        <v>16</v>
      </c>
      <c r="D6" s="14">
        <v>3482996</v>
      </c>
      <c r="F6" s="19" t="s">
        <v>17</v>
      </c>
      <c r="G6" s="14">
        <v>1982000</v>
      </c>
      <c r="I6" s="10">
        <v>1</v>
      </c>
      <c r="J6" t="s">
        <v>18</v>
      </c>
      <c r="K6" s="11">
        <v>4154000</v>
      </c>
    </row>
    <row r="7" spans="2:11" x14ac:dyDescent="0.25">
      <c r="B7" s="17" t="s">
        <v>19</v>
      </c>
      <c r="C7" s="20"/>
      <c r="D7" s="14">
        <v>3482996</v>
      </c>
      <c r="F7" s="19" t="s">
        <v>20</v>
      </c>
      <c r="G7" s="14">
        <v>1162000</v>
      </c>
      <c r="I7" s="10">
        <v>4</v>
      </c>
      <c r="J7" t="s">
        <v>21</v>
      </c>
      <c r="K7" s="11">
        <v>14707992</v>
      </c>
    </row>
    <row r="8" spans="2:11" x14ac:dyDescent="0.25">
      <c r="B8" s="17" t="s">
        <v>22</v>
      </c>
      <c r="C8" s="18" t="s">
        <v>23</v>
      </c>
      <c r="D8" s="14">
        <v>3482996</v>
      </c>
      <c r="F8" s="19" t="s">
        <v>24</v>
      </c>
      <c r="G8" s="14">
        <v>1982000</v>
      </c>
      <c r="I8" s="10">
        <v>9</v>
      </c>
      <c r="J8" t="s">
        <v>25</v>
      </c>
      <c r="K8" s="11">
        <v>23015984</v>
      </c>
    </row>
    <row r="9" spans="2:11" ht="15.75" thickBot="1" x14ac:dyDescent="0.3">
      <c r="B9" s="17" t="s">
        <v>26</v>
      </c>
      <c r="C9" s="18" t="s">
        <v>27</v>
      </c>
      <c r="D9" s="14">
        <v>3482996</v>
      </c>
      <c r="F9" s="19" t="s">
        <v>28</v>
      </c>
      <c r="G9" s="14">
        <v>1162000</v>
      </c>
      <c r="I9" s="10">
        <v>7</v>
      </c>
      <c r="J9" t="s">
        <v>29</v>
      </c>
      <c r="K9" s="11">
        <v>12697992</v>
      </c>
    </row>
    <row r="10" spans="2:11" ht="18.75" x14ac:dyDescent="0.25">
      <c r="B10" s="21" t="s">
        <v>30</v>
      </c>
      <c r="C10" s="18" t="s">
        <v>31</v>
      </c>
      <c r="D10" s="14">
        <v>3482996</v>
      </c>
      <c r="F10" s="21" t="s">
        <v>32</v>
      </c>
      <c r="G10" s="14">
        <v>1982000</v>
      </c>
      <c r="I10" s="22">
        <v>56</v>
      </c>
      <c r="J10" s="23" t="s">
        <v>33</v>
      </c>
      <c r="K10" s="24">
        <v>133519898</v>
      </c>
    </row>
    <row r="11" spans="2:11" ht="19.5" thickBot="1" x14ac:dyDescent="0.3">
      <c r="B11" s="17" t="s">
        <v>34</v>
      </c>
      <c r="C11" s="18" t="s">
        <v>35</v>
      </c>
      <c r="D11" s="14">
        <v>3904996</v>
      </c>
      <c r="F11" s="19" t="s">
        <v>36</v>
      </c>
      <c r="G11" s="14">
        <v>1982000</v>
      </c>
      <c r="I11" s="25"/>
      <c r="J11" s="26"/>
      <c r="K11" s="27"/>
    </row>
    <row r="12" spans="2:11" x14ac:dyDescent="0.25">
      <c r="B12" s="17" t="s">
        <v>37</v>
      </c>
      <c r="C12" s="18" t="s">
        <v>38</v>
      </c>
      <c r="D12" s="14">
        <v>3482996</v>
      </c>
      <c r="F12" s="19" t="s">
        <v>39</v>
      </c>
      <c r="G12" s="14">
        <v>1982000</v>
      </c>
    </row>
    <row r="13" spans="2:11" ht="15.75" thickBot="1" x14ac:dyDescent="0.3">
      <c r="B13" s="21" t="s">
        <v>40</v>
      </c>
      <c r="C13" s="28" t="s">
        <v>41</v>
      </c>
      <c r="D13" s="14">
        <v>3482996</v>
      </c>
      <c r="F13" s="19" t="s">
        <v>42</v>
      </c>
      <c r="G13" s="14">
        <v>1162000</v>
      </c>
    </row>
    <row r="14" spans="2:11" ht="15.75" thickBot="1" x14ac:dyDescent="0.3">
      <c r="B14" s="17" t="s">
        <v>43</v>
      </c>
      <c r="C14" s="18" t="s">
        <v>44</v>
      </c>
      <c r="D14" s="14">
        <v>3482996</v>
      </c>
      <c r="F14" s="19" t="s">
        <v>45</v>
      </c>
      <c r="G14" s="14">
        <v>1162000</v>
      </c>
      <c r="I14" s="4" t="s">
        <v>4</v>
      </c>
      <c r="J14" s="5" t="s">
        <v>46</v>
      </c>
      <c r="K14" s="6" t="s">
        <v>2</v>
      </c>
    </row>
    <row r="15" spans="2:11" x14ac:dyDescent="0.25">
      <c r="B15" s="19" t="s">
        <v>47</v>
      </c>
      <c r="C15" s="29" t="s">
        <v>48</v>
      </c>
      <c r="D15" s="14">
        <v>2526998</v>
      </c>
      <c r="F15" s="19" t="s">
        <v>49</v>
      </c>
      <c r="G15" s="14">
        <v>1162000</v>
      </c>
      <c r="I15" s="10">
        <v>15</v>
      </c>
      <c r="J15" t="s">
        <v>6</v>
      </c>
      <c r="K15" s="11">
        <v>22008000</v>
      </c>
    </row>
    <row r="16" spans="2:11" x14ac:dyDescent="0.25">
      <c r="B16" s="21" t="s">
        <v>50</v>
      </c>
      <c r="C16" s="29" t="s">
        <v>48</v>
      </c>
      <c r="D16" s="14">
        <v>2526998</v>
      </c>
      <c r="F16" s="19" t="s">
        <v>51</v>
      </c>
      <c r="G16" s="14">
        <v>1162000</v>
      </c>
      <c r="I16" s="10">
        <v>2</v>
      </c>
      <c r="J16" t="s">
        <v>10</v>
      </c>
      <c r="K16" s="11">
        <v>3964000</v>
      </c>
    </row>
    <row r="17" spans="2:11" x14ac:dyDescent="0.25">
      <c r="B17" s="19" t="s">
        <v>52</v>
      </c>
      <c r="C17" s="18" t="s">
        <v>53</v>
      </c>
      <c r="D17" s="14">
        <v>3482996</v>
      </c>
      <c r="F17" s="19" t="s">
        <v>54</v>
      </c>
      <c r="G17" s="14">
        <v>1162000</v>
      </c>
      <c r="I17" s="10">
        <v>1</v>
      </c>
      <c r="J17" t="s">
        <v>14</v>
      </c>
      <c r="K17" s="11">
        <v>1162000</v>
      </c>
    </row>
    <row r="18" spans="2:11" ht="15.75" thickBot="1" x14ac:dyDescent="0.3">
      <c r="B18" s="19" t="s">
        <v>55</v>
      </c>
      <c r="C18" s="29" t="s">
        <v>48</v>
      </c>
      <c r="D18" s="14">
        <v>2526998</v>
      </c>
      <c r="F18" s="30"/>
      <c r="G18" s="31"/>
      <c r="I18" s="10">
        <v>2</v>
      </c>
      <c r="J18" t="s">
        <v>18</v>
      </c>
      <c r="K18" s="11">
        <v>2324000</v>
      </c>
    </row>
    <row r="19" spans="2:11" ht="15.75" x14ac:dyDescent="0.25">
      <c r="B19" s="19" t="s">
        <v>56</v>
      </c>
      <c r="C19" s="18" t="s">
        <v>57</v>
      </c>
      <c r="D19" s="14">
        <v>3482996</v>
      </c>
      <c r="F19" s="32" t="s">
        <v>10</v>
      </c>
      <c r="G19" s="33"/>
      <c r="I19" s="10">
        <v>2</v>
      </c>
      <c r="J19" t="s">
        <v>21</v>
      </c>
      <c r="K19" s="11">
        <v>2324000</v>
      </c>
    </row>
    <row r="20" spans="2:11" x14ac:dyDescent="0.25">
      <c r="B20" s="19" t="s">
        <v>58</v>
      </c>
      <c r="C20" s="34" t="s">
        <v>59</v>
      </c>
      <c r="D20" s="14">
        <v>2526998</v>
      </c>
      <c r="F20" s="19" t="s">
        <v>60</v>
      </c>
      <c r="G20" s="14">
        <v>1982000</v>
      </c>
      <c r="I20" s="10">
        <v>1</v>
      </c>
      <c r="J20" t="s">
        <v>25</v>
      </c>
      <c r="K20" s="11">
        <v>1162000</v>
      </c>
    </row>
    <row r="21" spans="2:11" x14ac:dyDescent="0.25">
      <c r="B21" s="35" t="s">
        <v>61</v>
      </c>
      <c r="C21" s="36"/>
      <c r="D21" s="14">
        <v>2526998</v>
      </c>
      <c r="F21" s="35"/>
      <c r="G21" s="31"/>
      <c r="I21" s="10">
        <v>1</v>
      </c>
      <c r="J21" t="s">
        <v>29</v>
      </c>
      <c r="K21" s="11">
        <v>1162000</v>
      </c>
    </row>
    <row r="22" spans="2:11" ht="15.75" thickBot="1" x14ac:dyDescent="0.3">
      <c r="B22" s="35" t="s">
        <v>62</v>
      </c>
      <c r="C22" s="37" t="s">
        <v>63</v>
      </c>
      <c r="D22" s="31">
        <v>3482996</v>
      </c>
      <c r="F22" s="38" t="s">
        <v>64</v>
      </c>
      <c r="G22" s="39">
        <v>1982000</v>
      </c>
      <c r="I22" s="10"/>
      <c r="K22" s="11"/>
    </row>
    <row r="23" spans="2:11" ht="18.75" x14ac:dyDescent="0.25">
      <c r="B23" s="32" t="s">
        <v>10</v>
      </c>
      <c r="C23" s="40"/>
      <c r="D23" s="33"/>
      <c r="F23" s="32" t="s">
        <v>14</v>
      </c>
      <c r="G23" s="33"/>
      <c r="I23" s="22">
        <v>24</v>
      </c>
      <c r="J23" s="23" t="s">
        <v>33</v>
      </c>
      <c r="K23" s="24">
        <v>34106000</v>
      </c>
    </row>
    <row r="24" spans="2:11" ht="19.5" thickBot="1" x14ac:dyDescent="0.3">
      <c r="B24" s="38" t="s">
        <v>65</v>
      </c>
      <c r="C24" s="41" t="s">
        <v>66</v>
      </c>
      <c r="D24" s="39">
        <v>6158000</v>
      </c>
      <c r="F24" s="38" t="s">
        <v>67</v>
      </c>
      <c r="G24" s="39">
        <v>1162000</v>
      </c>
      <c r="I24" s="25"/>
      <c r="J24" s="26"/>
      <c r="K24" s="27"/>
    </row>
    <row r="25" spans="2:11" ht="15.75" x14ac:dyDescent="0.25">
      <c r="B25" s="32" t="s">
        <v>14</v>
      </c>
      <c r="C25" s="40"/>
      <c r="D25" s="33"/>
      <c r="F25" s="32" t="s">
        <v>18</v>
      </c>
      <c r="G25" s="33"/>
    </row>
    <row r="26" spans="2:11" ht="15.75" thickBot="1" x14ac:dyDescent="0.3">
      <c r="B26" s="19" t="s">
        <v>68</v>
      </c>
      <c r="C26" s="42" t="s">
        <v>69</v>
      </c>
      <c r="D26" s="14">
        <v>7484000</v>
      </c>
      <c r="F26" s="19" t="s">
        <v>70</v>
      </c>
      <c r="G26" s="14">
        <v>1162000</v>
      </c>
    </row>
    <row r="27" spans="2:11" ht="16.5" thickBot="1" x14ac:dyDescent="0.3">
      <c r="B27" s="38" t="s">
        <v>71</v>
      </c>
      <c r="C27" s="43" t="s">
        <v>72</v>
      </c>
      <c r="D27" s="39">
        <v>3482996</v>
      </c>
      <c r="F27" s="38" t="s">
        <v>73</v>
      </c>
      <c r="G27" s="39">
        <v>1162000</v>
      </c>
      <c r="I27" s="4">
        <v>56</v>
      </c>
      <c r="J27" s="44" t="s">
        <v>74</v>
      </c>
      <c r="K27" s="45">
        <v>133519898</v>
      </c>
    </row>
    <row r="28" spans="2:11" ht="16.5" thickBot="1" x14ac:dyDescent="0.3">
      <c r="B28" s="32" t="s">
        <v>18</v>
      </c>
      <c r="C28" s="40"/>
      <c r="D28" s="33"/>
      <c r="F28" s="32" t="s">
        <v>21</v>
      </c>
      <c r="G28" s="33"/>
      <c r="I28" s="46">
        <v>24</v>
      </c>
      <c r="J28" s="47" t="s">
        <v>75</v>
      </c>
      <c r="K28" s="48">
        <v>34106000</v>
      </c>
    </row>
    <row r="29" spans="2:11" ht="19.5" thickBot="1" x14ac:dyDescent="0.3">
      <c r="B29" s="38" t="s">
        <v>76</v>
      </c>
      <c r="C29" s="20" t="s">
        <v>77</v>
      </c>
      <c r="D29" s="39">
        <v>4154000</v>
      </c>
      <c r="F29" s="19" t="s">
        <v>78</v>
      </c>
      <c r="G29" s="14">
        <v>1162000</v>
      </c>
      <c r="I29" s="22">
        <v>80</v>
      </c>
      <c r="J29" s="49" t="s">
        <v>79</v>
      </c>
      <c r="K29" s="50">
        <v>167625898</v>
      </c>
    </row>
    <row r="30" spans="2:11" ht="19.5" thickBot="1" x14ac:dyDescent="0.3">
      <c r="B30" s="32" t="s">
        <v>21</v>
      </c>
      <c r="C30" s="40"/>
      <c r="D30" s="33"/>
      <c r="F30" s="38" t="s">
        <v>80</v>
      </c>
      <c r="G30" s="39">
        <v>1162000</v>
      </c>
      <c r="I30" s="25"/>
      <c r="J30" s="51"/>
      <c r="K30" s="27"/>
    </row>
    <row r="31" spans="2:11" ht="15.75" x14ac:dyDescent="0.25">
      <c r="B31" s="19" t="s">
        <v>81</v>
      </c>
      <c r="C31" s="42" t="s">
        <v>69</v>
      </c>
      <c r="D31" s="14">
        <v>7484000</v>
      </c>
      <c r="F31" s="32" t="s">
        <v>25</v>
      </c>
      <c r="G31" s="33"/>
    </row>
    <row r="32" spans="2:11" ht="15.75" thickBot="1" x14ac:dyDescent="0.3">
      <c r="B32" s="21" t="s">
        <v>82</v>
      </c>
      <c r="C32" s="20"/>
      <c r="D32" s="14">
        <v>3740996</v>
      </c>
      <c r="F32" s="38" t="s">
        <v>83</v>
      </c>
      <c r="G32" s="39">
        <v>1162000</v>
      </c>
    </row>
    <row r="33" spans="2:14" ht="16.5" thickBot="1" x14ac:dyDescent="0.3">
      <c r="B33" s="52" t="s">
        <v>84</v>
      </c>
      <c r="C33" s="53" t="s">
        <v>85</v>
      </c>
      <c r="D33" s="39">
        <v>3482996</v>
      </c>
      <c r="F33" s="32" t="s">
        <v>29</v>
      </c>
      <c r="G33" s="33"/>
    </row>
    <row r="34" spans="2:14" ht="16.5" thickBot="1" x14ac:dyDescent="0.3">
      <c r="B34" s="32" t="s">
        <v>25</v>
      </c>
      <c r="C34" s="40"/>
      <c r="D34" s="33"/>
      <c r="F34" s="38" t="s">
        <v>86</v>
      </c>
      <c r="G34" s="39">
        <v>1162000</v>
      </c>
    </row>
    <row r="35" spans="2:14" x14ac:dyDescent="0.25">
      <c r="B35" s="17" t="s">
        <v>87</v>
      </c>
      <c r="C35" s="42" t="s">
        <v>69</v>
      </c>
      <c r="D35" s="14">
        <v>9084000</v>
      </c>
    </row>
    <row r="36" spans="2:14" ht="15.75" thickBot="1" x14ac:dyDescent="0.3">
      <c r="B36" s="19" t="s">
        <v>88</v>
      </c>
      <c r="C36" s="54" t="s">
        <v>89</v>
      </c>
      <c r="D36" s="14">
        <v>3482996</v>
      </c>
    </row>
    <row r="37" spans="2:14" ht="15.75" thickBot="1" x14ac:dyDescent="0.3">
      <c r="B37" s="17" t="s">
        <v>90</v>
      </c>
      <c r="C37" s="18" t="s">
        <v>91</v>
      </c>
      <c r="D37" s="14">
        <v>3482996</v>
      </c>
      <c r="F37" s="55" t="s">
        <v>92</v>
      </c>
      <c r="G37" s="56"/>
      <c r="H37" s="56"/>
      <c r="I37" s="57"/>
      <c r="J37" s="58" t="s">
        <v>93</v>
      </c>
      <c r="K37" s="58"/>
      <c r="L37" s="59"/>
    </row>
    <row r="38" spans="2:14" x14ac:dyDescent="0.25">
      <c r="B38" s="19" t="s">
        <v>94</v>
      </c>
      <c r="C38" s="20" t="s">
        <v>95</v>
      </c>
      <c r="D38" s="14">
        <v>3482996</v>
      </c>
      <c r="F38" s="60" t="s">
        <v>96</v>
      </c>
      <c r="G38" s="61"/>
      <c r="H38" s="61"/>
      <c r="I38" s="62"/>
      <c r="J38" s="63"/>
      <c r="K38" s="63"/>
      <c r="L38" s="64"/>
    </row>
    <row r="39" spans="2:14" ht="15.75" thickBot="1" x14ac:dyDescent="0.3">
      <c r="B39" s="17" t="s">
        <v>97</v>
      </c>
      <c r="C39" s="43" t="s">
        <v>98</v>
      </c>
      <c r="D39" s="39">
        <v>3482996</v>
      </c>
      <c r="F39" s="65" t="s">
        <v>99</v>
      </c>
      <c r="G39" s="66"/>
      <c r="H39" s="66"/>
      <c r="I39" s="67"/>
      <c r="J39" s="68" t="s">
        <v>100</v>
      </c>
      <c r="K39" s="68"/>
      <c r="L39" s="69"/>
    </row>
    <row r="40" spans="2:14" ht="15.75" x14ac:dyDescent="0.25">
      <c r="B40" s="32" t="s">
        <v>29</v>
      </c>
      <c r="C40" s="40"/>
      <c r="D40" s="33"/>
      <c r="F40" s="65" t="s">
        <v>101</v>
      </c>
      <c r="G40" s="66"/>
      <c r="H40" s="66"/>
      <c r="I40" s="67"/>
      <c r="J40" s="70" t="s">
        <v>102</v>
      </c>
      <c r="K40" s="70"/>
      <c r="L40" s="71"/>
    </row>
    <row r="41" spans="2:14" ht="15.75" thickBot="1" x14ac:dyDescent="0.3">
      <c r="B41" s="19" t="s">
        <v>103</v>
      </c>
      <c r="C41" s="20" t="s">
        <v>104</v>
      </c>
      <c r="D41" s="14">
        <v>1982000</v>
      </c>
      <c r="F41" s="72" t="s">
        <v>105</v>
      </c>
      <c r="G41" s="73"/>
      <c r="H41" s="73"/>
      <c r="I41" s="74"/>
      <c r="J41" s="75" t="s">
        <v>106</v>
      </c>
      <c r="K41" s="75"/>
      <c r="L41" s="76"/>
    </row>
    <row r="42" spans="2:14" ht="15.75" thickBot="1" x14ac:dyDescent="0.3">
      <c r="B42" s="19" t="s">
        <v>107</v>
      </c>
      <c r="C42" s="20" t="s">
        <v>108</v>
      </c>
      <c r="D42" s="14">
        <v>3482996</v>
      </c>
    </row>
    <row r="43" spans="2:14" ht="15.75" thickBot="1" x14ac:dyDescent="0.3">
      <c r="B43" s="19" t="s">
        <v>109</v>
      </c>
      <c r="C43" s="77" t="s">
        <v>66</v>
      </c>
      <c r="D43" s="14">
        <v>3750000</v>
      </c>
      <c r="F43" s="55" t="s">
        <v>92</v>
      </c>
      <c r="G43" s="56"/>
      <c r="H43" s="56"/>
      <c r="I43" s="57"/>
      <c r="J43" s="58" t="s">
        <v>93</v>
      </c>
      <c r="K43" s="58"/>
      <c r="L43" s="59"/>
    </row>
    <row r="44" spans="2:14" ht="15.75" thickBot="1" x14ac:dyDescent="0.3">
      <c r="B44" s="38" t="s">
        <v>110</v>
      </c>
      <c r="C44" s="43" t="s">
        <v>111</v>
      </c>
      <c r="D44" s="39">
        <v>3482996</v>
      </c>
      <c r="F44" s="78" t="s">
        <v>112</v>
      </c>
      <c r="G44" s="79"/>
      <c r="H44" s="79"/>
      <c r="I44" s="80"/>
      <c r="J44" s="63" t="s">
        <v>113</v>
      </c>
      <c r="K44" s="63"/>
      <c r="L44" s="64"/>
    </row>
    <row r="45" spans="2:14" x14ac:dyDescent="0.25">
      <c r="F45" s="81" t="s">
        <v>114</v>
      </c>
      <c r="G45" s="82"/>
      <c r="H45" s="82"/>
      <c r="I45" s="83"/>
      <c r="J45" s="68" t="s">
        <v>115</v>
      </c>
      <c r="K45" s="68"/>
      <c r="L45" s="69"/>
    </row>
    <row r="46" spans="2:14" x14ac:dyDescent="0.25">
      <c r="F46" s="84"/>
      <c r="G46" s="85"/>
      <c r="H46" s="85"/>
      <c r="I46" s="86"/>
      <c r="J46" s="87"/>
      <c r="K46" s="87"/>
      <c r="L46" s="88"/>
    </row>
    <row r="47" spans="2:14" ht="15.75" thickBot="1" x14ac:dyDescent="0.3">
      <c r="F47" s="89"/>
      <c r="G47" s="90"/>
      <c r="H47" s="90"/>
      <c r="I47" s="91"/>
      <c r="J47" s="92"/>
      <c r="K47" s="92"/>
      <c r="L47" s="93"/>
    </row>
    <row r="48" spans="2:14" ht="15.75" thickBot="1" x14ac:dyDescent="0.3">
      <c r="J48" s="94"/>
      <c r="K48" s="94"/>
      <c r="L48" s="94"/>
      <c r="M48" s="94"/>
      <c r="N48" s="94"/>
    </row>
    <row r="49" spans="6:12" ht="15.75" thickBot="1" x14ac:dyDescent="0.3">
      <c r="F49" s="95" t="s">
        <v>92</v>
      </c>
      <c r="G49" s="58"/>
      <c r="H49" s="58"/>
      <c r="I49" s="58"/>
      <c r="J49" s="58" t="s">
        <v>93</v>
      </c>
      <c r="K49" s="58"/>
      <c r="L49" s="59"/>
    </row>
    <row r="50" spans="6:12" x14ac:dyDescent="0.25">
      <c r="F50" s="96" t="s">
        <v>82</v>
      </c>
      <c r="G50" s="97"/>
      <c r="H50" s="97"/>
      <c r="I50" s="98"/>
      <c r="J50" s="99" t="s">
        <v>116</v>
      </c>
      <c r="K50" s="63"/>
      <c r="L50" s="64"/>
    </row>
    <row r="51" spans="6:12" x14ac:dyDescent="0.25">
      <c r="F51" s="65" t="s">
        <v>117</v>
      </c>
      <c r="G51" s="66"/>
      <c r="H51" s="66"/>
      <c r="I51" s="100"/>
      <c r="J51" s="101" t="s">
        <v>118</v>
      </c>
      <c r="K51" s="68"/>
      <c r="L51" s="69"/>
    </row>
    <row r="52" spans="6:12" x14ac:dyDescent="0.25">
      <c r="F52" s="65" t="s">
        <v>119</v>
      </c>
      <c r="G52" s="66"/>
      <c r="H52" s="66"/>
      <c r="I52" s="100"/>
      <c r="J52" s="102" t="s">
        <v>120</v>
      </c>
      <c r="K52" s="70"/>
      <c r="L52" s="71"/>
    </row>
    <row r="53" spans="6:12" ht="15.75" thickBot="1" x14ac:dyDescent="0.3">
      <c r="F53" s="72" t="s">
        <v>121</v>
      </c>
      <c r="G53" s="73"/>
      <c r="H53" s="73"/>
      <c r="I53" s="103"/>
      <c r="J53" s="104" t="s">
        <v>122</v>
      </c>
      <c r="K53" s="105"/>
      <c r="L53" s="106"/>
    </row>
    <row r="54" spans="6:12" ht="15.75" thickBot="1" x14ac:dyDescent="0.3"/>
    <row r="55" spans="6:12" ht="15.75" thickBot="1" x14ac:dyDescent="0.3">
      <c r="F55" s="95" t="s">
        <v>92</v>
      </c>
      <c r="G55" s="58"/>
      <c r="H55" s="58"/>
      <c r="I55" s="58"/>
      <c r="J55" s="58" t="s">
        <v>93</v>
      </c>
      <c r="K55" s="58"/>
      <c r="L55" s="59"/>
    </row>
    <row r="56" spans="6:12" x14ac:dyDescent="0.25">
      <c r="F56" s="96" t="s">
        <v>123</v>
      </c>
      <c r="G56" s="97"/>
      <c r="H56" s="97"/>
      <c r="I56" s="98"/>
      <c r="J56" s="107" t="s">
        <v>124</v>
      </c>
      <c r="K56" s="108"/>
      <c r="L56" s="109"/>
    </row>
    <row r="57" spans="6:12" x14ac:dyDescent="0.25">
      <c r="F57" s="84" t="s">
        <v>125</v>
      </c>
      <c r="G57" s="85"/>
      <c r="H57" s="85"/>
      <c r="I57" s="110"/>
      <c r="J57" s="111" t="s">
        <v>126</v>
      </c>
      <c r="K57" s="112"/>
      <c r="L57" s="113"/>
    </row>
    <row r="58" spans="6:12" x14ac:dyDescent="0.25">
      <c r="F58" s="84" t="s">
        <v>127</v>
      </c>
      <c r="G58" s="85"/>
      <c r="H58" s="85"/>
      <c r="I58" s="110"/>
      <c r="J58" s="114" t="s">
        <v>128</v>
      </c>
      <c r="K58" s="115"/>
      <c r="L58" s="116"/>
    </row>
    <row r="59" spans="6:12" ht="15.75" thickBot="1" x14ac:dyDescent="0.3">
      <c r="F59" s="89" t="s">
        <v>129</v>
      </c>
      <c r="G59" s="90"/>
      <c r="H59" s="90"/>
      <c r="I59" s="117"/>
      <c r="J59" s="118" t="s">
        <v>130</v>
      </c>
      <c r="K59" s="119"/>
      <c r="L59" s="120"/>
    </row>
  </sheetData>
  <mergeCells count="55">
    <mergeCell ref="F58:I58"/>
    <mergeCell ref="J58:L58"/>
    <mergeCell ref="F59:I59"/>
    <mergeCell ref="J59:L59"/>
    <mergeCell ref="F55:I55"/>
    <mergeCell ref="J55:L55"/>
    <mergeCell ref="F56:I56"/>
    <mergeCell ref="J56:L56"/>
    <mergeCell ref="F57:I57"/>
    <mergeCell ref="J57:L57"/>
    <mergeCell ref="F51:I51"/>
    <mergeCell ref="J51:L51"/>
    <mergeCell ref="F52:I52"/>
    <mergeCell ref="J52:L52"/>
    <mergeCell ref="F53:I53"/>
    <mergeCell ref="J53:L53"/>
    <mergeCell ref="F47:I47"/>
    <mergeCell ref="J47:L47"/>
    <mergeCell ref="J48:N48"/>
    <mergeCell ref="F49:I49"/>
    <mergeCell ref="J49:L49"/>
    <mergeCell ref="F50:I50"/>
    <mergeCell ref="J50:L50"/>
    <mergeCell ref="F44:I44"/>
    <mergeCell ref="J44:L44"/>
    <mergeCell ref="F45:I45"/>
    <mergeCell ref="J45:L45"/>
    <mergeCell ref="F46:I46"/>
    <mergeCell ref="J46:L46"/>
    <mergeCell ref="B40:D40"/>
    <mergeCell ref="F40:I40"/>
    <mergeCell ref="J40:L40"/>
    <mergeCell ref="F41:I41"/>
    <mergeCell ref="J41:L41"/>
    <mergeCell ref="F43:I43"/>
    <mergeCell ref="J43:L43"/>
    <mergeCell ref="F37:I37"/>
    <mergeCell ref="J37:L37"/>
    <mergeCell ref="F38:I38"/>
    <mergeCell ref="J38:L38"/>
    <mergeCell ref="F39:I39"/>
    <mergeCell ref="J39:L39"/>
    <mergeCell ref="B28:D28"/>
    <mergeCell ref="F28:G28"/>
    <mergeCell ref="B30:D30"/>
    <mergeCell ref="F31:G31"/>
    <mergeCell ref="F33:G33"/>
    <mergeCell ref="B34:D34"/>
    <mergeCell ref="B3:D3"/>
    <mergeCell ref="F3:G3"/>
    <mergeCell ref="F19:G19"/>
    <mergeCell ref="B23:D23"/>
    <mergeCell ref="F23:G23"/>
    <mergeCell ref="B25:D25"/>
    <mergeCell ref="F25:G2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20F9-A0CB-4FF9-B674-2B1F6B7F2BDE}">
  <dimension ref="A1:V125"/>
  <sheetViews>
    <sheetView topLeftCell="A107" workbookViewId="0">
      <selection activeCell="D127" sqref="D127"/>
    </sheetView>
  </sheetViews>
  <sheetFormatPr baseColWidth="10" defaultRowHeight="15" x14ac:dyDescent="0.25"/>
  <cols>
    <col min="2" max="2" width="3" bestFit="1" customWidth="1"/>
    <col min="3" max="3" width="8.85546875" customWidth="1"/>
    <col min="4" max="4" width="46.140625" bestFit="1" customWidth="1"/>
    <col min="5" max="5" width="15.28515625" bestFit="1" customWidth="1"/>
    <col min="6" max="6" width="14.28515625" bestFit="1" customWidth="1"/>
    <col min="7" max="7" width="20.85546875" bestFit="1" customWidth="1"/>
    <col min="8" max="8" width="17.28515625" bestFit="1" customWidth="1"/>
    <col min="10" max="10" width="13.140625" bestFit="1" customWidth="1"/>
    <col min="11" max="11" width="14.42578125" bestFit="1" customWidth="1"/>
    <col min="12" max="12" width="11.85546875" bestFit="1" customWidth="1"/>
    <col min="13" max="13" width="27.85546875" bestFit="1" customWidth="1"/>
    <col min="14" max="14" width="14.28515625" bestFit="1" customWidth="1"/>
    <col min="16" max="16" width="15.7109375" bestFit="1" customWidth="1"/>
  </cols>
  <sheetData>
    <row r="1" spans="1:21" ht="15.75" thickBot="1" x14ac:dyDescent="0.3">
      <c r="B1" s="121"/>
      <c r="E1" s="122"/>
      <c r="G1" s="123"/>
      <c r="H1" s="123"/>
      <c r="I1" s="124"/>
      <c r="J1" s="121"/>
      <c r="L1" s="121"/>
      <c r="P1" s="125"/>
    </row>
    <row r="2" spans="1:21" ht="21.75" thickBot="1" x14ac:dyDescent="0.4">
      <c r="B2" s="121"/>
      <c r="E2" s="126"/>
      <c r="G2" s="123"/>
      <c r="H2" s="123"/>
      <c r="I2" s="124"/>
      <c r="J2" s="121"/>
      <c r="L2" s="121"/>
      <c r="P2" s="125"/>
      <c r="R2" s="127" t="s">
        <v>131</v>
      </c>
      <c r="S2" s="128" t="s">
        <v>132</v>
      </c>
      <c r="T2" s="129" t="s">
        <v>133</v>
      </c>
      <c r="U2" s="130"/>
    </row>
    <row r="3" spans="1:21" ht="24.75" thickBot="1" x14ac:dyDescent="0.3">
      <c r="B3" s="121"/>
      <c r="D3" s="131" t="s">
        <v>134</v>
      </c>
      <c r="E3" s="132" t="s">
        <v>135</v>
      </c>
      <c r="F3" s="133"/>
      <c r="G3" s="134" t="s">
        <v>136</v>
      </c>
      <c r="H3" s="135" t="s">
        <v>137</v>
      </c>
      <c r="I3" s="136" t="s">
        <v>138</v>
      </c>
      <c r="J3" s="135" t="s">
        <v>139</v>
      </c>
      <c r="K3" s="137" t="s">
        <v>140</v>
      </c>
      <c r="L3" s="137" t="s">
        <v>141</v>
      </c>
      <c r="M3" s="138" t="s">
        <v>142</v>
      </c>
      <c r="P3" s="125"/>
      <c r="R3" s="139">
        <f>SUM(L5:L123)</f>
        <v>846</v>
      </c>
      <c r="S3" s="140">
        <f>B124</f>
        <v>87</v>
      </c>
      <c r="T3" s="141">
        <f>SUM(A5:A123)</f>
        <v>10</v>
      </c>
      <c r="U3" s="142"/>
    </row>
    <row r="4" spans="1:21" ht="16.5" thickBot="1" x14ac:dyDescent="0.3">
      <c r="B4" s="143"/>
      <c r="C4" s="144"/>
      <c r="D4" s="134" t="s">
        <v>143</v>
      </c>
      <c r="E4" s="145" t="s">
        <v>144</v>
      </c>
      <c r="F4" s="146" t="s">
        <v>145</v>
      </c>
      <c r="G4" s="147"/>
      <c r="H4" s="147"/>
      <c r="I4" s="147"/>
      <c r="J4" s="148"/>
      <c r="K4" s="149"/>
      <c r="L4" s="150"/>
      <c r="M4" s="151" t="s">
        <v>146</v>
      </c>
      <c r="N4" s="152" t="s">
        <v>147</v>
      </c>
      <c r="O4" s="152" t="s">
        <v>148</v>
      </c>
      <c r="P4" s="153" t="s">
        <v>149</v>
      </c>
    </row>
    <row r="5" spans="1:21" ht="15.75" x14ac:dyDescent="0.25">
      <c r="B5" s="154">
        <v>1</v>
      </c>
      <c r="C5" s="155"/>
      <c r="D5" s="156" t="s">
        <v>150</v>
      </c>
      <c r="E5" s="157" t="s">
        <v>151</v>
      </c>
      <c r="F5" s="158"/>
      <c r="G5" s="159"/>
      <c r="H5" s="159"/>
      <c r="I5" s="160"/>
      <c r="J5" s="161"/>
      <c r="K5" s="162"/>
      <c r="L5" s="163">
        <v>29</v>
      </c>
      <c r="M5" s="164" t="s">
        <v>152</v>
      </c>
      <c r="N5" s="165"/>
      <c r="O5" s="166"/>
      <c r="P5" s="167" t="s">
        <v>153</v>
      </c>
      <c r="Q5">
        <f>L5+L6+L8</f>
        <v>77</v>
      </c>
    </row>
    <row r="6" spans="1:21" ht="15.75" x14ac:dyDescent="0.25">
      <c r="B6" s="154">
        <v>1</v>
      </c>
      <c r="C6" s="168"/>
      <c r="D6" s="169" t="s">
        <v>154</v>
      </c>
      <c r="E6" s="157" t="s">
        <v>155</v>
      </c>
      <c r="F6" s="170"/>
      <c r="G6" s="159"/>
      <c r="H6" s="159"/>
      <c r="I6" s="160"/>
      <c r="J6" s="161"/>
      <c r="K6" s="162"/>
      <c r="L6" s="171">
        <v>36</v>
      </c>
      <c r="M6" s="172" t="s">
        <v>156</v>
      </c>
      <c r="N6" s="173"/>
      <c r="O6" s="174"/>
      <c r="P6" s="175" t="s">
        <v>157</v>
      </c>
    </row>
    <row r="7" spans="1:21" ht="15.75" x14ac:dyDescent="0.25">
      <c r="B7" s="154">
        <v>1</v>
      </c>
      <c r="C7" s="168"/>
      <c r="D7" s="169" t="s">
        <v>158</v>
      </c>
      <c r="E7" s="157" t="s">
        <v>159</v>
      </c>
      <c r="F7" s="170"/>
      <c r="G7" s="159"/>
      <c r="H7" s="159"/>
      <c r="I7" s="160"/>
      <c r="J7" s="161"/>
      <c r="K7" s="162"/>
      <c r="L7" s="171">
        <v>14</v>
      </c>
      <c r="M7" s="172" t="s">
        <v>160</v>
      </c>
      <c r="N7" s="173"/>
      <c r="O7" s="174"/>
      <c r="P7" s="175"/>
    </row>
    <row r="8" spans="1:21" ht="16.5" thickBot="1" x14ac:dyDescent="0.3">
      <c r="B8" s="154">
        <v>1</v>
      </c>
      <c r="C8" s="176"/>
      <c r="D8" s="177" t="s">
        <v>161</v>
      </c>
      <c r="E8" s="178" t="s">
        <v>162</v>
      </c>
      <c r="F8" s="179"/>
      <c r="G8" s="180"/>
      <c r="H8" s="180"/>
      <c r="I8" s="181"/>
      <c r="J8" s="182"/>
      <c r="K8" s="183"/>
      <c r="L8" s="184">
        <v>12</v>
      </c>
      <c r="M8" s="185" t="s">
        <v>163</v>
      </c>
      <c r="N8" s="186"/>
      <c r="O8" s="174"/>
      <c r="P8" s="187"/>
    </row>
    <row r="9" spans="1:21" ht="15.75" x14ac:dyDescent="0.25">
      <c r="B9" s="154">
        <v>1</v>
      </c>
      <c r="C9" s="188"/>
      <c r="D9" s="169" t="s">
        <v>164</v>
      </c>
      <c r="E9" s="157" t="s">
        <v>165</v>
      </c>
      <c r="F9" s="170" t="s">
        <v>166</v>
      </c>
      <c r="G9" s="159" t="s">
        <v>166</v>
      </c>
      <c r="H9" s="159" t="s">
        <v>167</v>
      </c>
      <c r="I9" s="160" t="s">
        <v>168</v>
      </c>
      <c r="J9" s="161">
        <v>37777</v>
      </c>
      <c r="K9" s="189" t="s">
        <v>169</v>
      </c>
      <c r="L9" s="190">
        <v>3</v>
      </c>
      <c r="M9" s="172" t="s">
        <v>163</v>
      </c>
      <c r="N9" s="191" t="s">
        <v>170</v>
      </c>
      <c r="O9" s="192" t="s">
        <v>171</v>
      </c>
      <c r="P9" s="193" t="s">
        <v>153</v>
      </c>
    </row>
    <row r="10" spans="1:21" ht="16.5" thickBot="1" x14ac:dyDescent="0.3">
      <c r="B10" s="154">
        <v>1</v>
      </c>
      <c r="C10" s="188"/>
      <c r="D10" s="194" t="s">
        <v>172</v>
      </c>
      <c r="E10" s="195" t="s">
        <v>173</v>
      </c>
      <c r="F10" s="158" t="s">
        <v>174</v>
      </c>
      <c r="G10" s="159" t="s">
        <v>175</v>
      </c>
      <c r="H10" s="159" t="s">
        <v>176</v>
      </c>
      <c r="I10" s="160" t="s">
        <v>168</v>
      </c>
      <c r="J10" s="161">
        <v>37777</v>
      </c>
      <c r="K10" s="196" t="s">
        <v>177</v>
      </c>
      <c r="L10" s="190">
        <v>4</v>
      </c>
      <c r="M10" s="172" t="s">
        <v>178</v>
      </c>
      <c r="N10" s="197"/>
      <c r="O10" s="198" t="s">
        <v>171</v>
      </c>
      <c r="P10" s="199"/>
    </row>
    <row r="11" spans="1:21" ht="16.5" thickBot="1" x14ac:dyDescent="0.3">
      <c r="B11" s="200">
        <v>1</v>
      </c>
      <c r="C11" s="201"/>
      <c r="D11" s="202" t="s">
        <v>179</v>
      </c>
      <c r="E11" s="203" t="s">
        <v>180</v>
      </c>
      <c r="F11" s="204"/>
      <c r="G11" s="159"/>
      <c r="H11" s="159"/>
      <c r="I11" s="160"/>
      <c r="J11" s="161"/>
      <c r="K11" s="189" t="s">
        <v>181</v>
      </c>
      <c r="L11" s="205">
        <v>12</v>
      </c>
      <c r="M11" s="206" t="s">
        <v>182</v>
      </c>
      <c r="N11" s="207"/>
      <c r="O11" s="198"/>
      <c r="P11" s="199" t="s">
        <v>183</v>
      </c>
    </row>
    <row r="12" spans="1:21" ht="15.75" x14ac:dyDescent="0.25">
      <c r="B12" s="154">
        <v>1</v>
      </c>
      <c r="C12" s="208" t="s">
        <v>184</v>
      </c>
      <c r="D12" s="209" t="s">
        <v>185</v>
      </c>
      <c r="E12" s="210"/>
      <c r="F12" s="158" t="s">
        <v>186</v>
      </c>
      <c r="G12" s="211" t="s">
        <v>187</v>
      </c>
      <c r="H12" s="159" t="s">
        <v>188</v>
      </c>
      <c r="I12" s="160" t="s">
        <v>168</v>
      </c>
      <c r="J12" s="161">
        <v>4455</v>
      </c>
      <c r="K12" s="189" t="s">
        <v>189</v>
      </c>
      <c r="L12" s="190">
        <v>9</v>
      </c>
      <c r="M12" s="172" t="s">
        <v>190</v>
      </c>
      <c r="N12" s="212"/>
      <c r="O12" s="198" t="s">
        <v>171</v>
      </c>
      <c r="P12" s="199" t="s">
        <v>153</v>
      </c>
    </row>
    <row r="13" spans="1:21" ht="15.75" x14ac:dyDescent="0.25">
      <c r="B13" s="154">
        <v>1</v>
      </c>
      <c r="C13" s="213"/>
      <c r="D13" s="214" t="s">
        <v>191</v>
      </c>
      <c r="E13" s="157" t="s">
        <v>192</v>
      </c>
      <c r="F13" s="170" t="s">
        <v>193</v>
      </c>
      <c r="G13" s="211" t="s">
        <v>194</v>
      </c>
      <c r="H13" s="159" t="s">
        <v>195</v>
      </c>
      <c r="I13" s="160" t="s">
        <v>168</v>
      </c>
      <c r="J13" s="161">
        <v>37777</v>
      </c>
      <c r="K13" s="189" t="s">
        <v>196</v>
      </c>
      <c r="L13" s="190">
        <v>3</v>
      </c>
      <c r="M13" s="172" t="s">
        <v>182</v>
      </c>
      <c r="N13" s="191" t="s">
        <v>170</v>
      </c>
      <c r="O13" s="198" t="s">
        <v>171</v>
      </c>
      <c r="P13" s="199" t="s">
        <v>183</v>
      </c>
    </row>
    <row r="14" spans="1:21" ht="15.75" x14ac:dyDescent="0.25">
      <c r="B14" s="154">
        <v>1</v>
      </c>
      <c r="C14" s="213"/>
      <c r="D14" s="215" t="s">
        <v>197</v>
      </c>
      <c r="E14" s="157" t="s">
        <v>198</v>
      </c>
      <c r="F14" s="170" t="s">
        <v>199</v>
      </c>
      <c r="G14" s="211" t="s">
        <v>200</v>
      </c>
      <c r="H14" s="159" t="s">
        <v>201</v>
      </c>
      <c r="I14" s="160" t="s">
        <v>168</v>
      </c>
      <c r="J14" s="161">
        <v>4456</v>
      </c>
      <c r="K14" s="189" t="s">
        <v>202</v>
      </c>
      <c r="L14" s="190">
        <v>2</v>
      </c>
      <c r="M14" s="172" t="s">
        <v>163</v>
      </c>
      <c r="N14" s="207"/>
      <c r="O14" s="198" t="s">
        <v>171</v>
      </c>
      <c r="P14" s="199"/>
      <c r="Q14" s="94" t="s">
        <v>203</v>
      </c>
      <c r="R14" s="94"/>
      <c r="S14" s="216">
        <v>44761</v>
      </c>
    </row>
    <row r="15" spans="1:21" ht="15.75" x14ac:dyDescent="0.25">
      <c r="A15">
        <v>1</v>
      </c>
      <c r="B15" s="154">
        <v>0</v>
      </c>
      <c r="C15" s="213"/>
      <c r="D15" s="215" t="s">
        <v>204</v>
      </c>
      <c r="E15" s="157" t="s">
        <v>205</v>
      </c>
      <c r="F15" s="170" t="s">
        <v>206</v>
      </c>
      <c r="G15" s="211" t="s">
        <v>207</v>
      </c>
      <c r="H15" s="159" t="s">
        <v>208</v>
      </c>
      <c r="I15" s="160"/>
      <c r="J15" s="161">
        <v>4456</v>
      </c>
      <c r="K15" s="189" t="s">
        <v>209</v>
      </c>
      <c r="L15" s="190">
        <v>2</v>
      </c>
      <c r="M15" s="172" t="s">
        <v>182</v>
      </c>
      <c r="N15" s="207"/>
      <c r="O15" s="198" t="s">
        <v>171</v>
      </c>
      <c r="P15" s="199"/>
      <c r="Q15" s="94" t="s">
        <v>210</v>
      </c>
      <c r="R15" s="94"/>
      <c r="S15" s="216">
        <v>44880</v>
      </c>
    </row>
    <row r="16" spans="1:21" ht="15.75" x14ac:dyDescent="0.25">
      <c r="B16" s="154">
        <v>1</v>
      </c>
      <c r="C16" s="213"/>
      <c r="D16" s="217" t="s">
        <v>211</v>
      </c>
      <c r="E16" s="157" t="s">
        <v>212</v>
      </c>
      <c r="F16" s="170" t="s">
        <v>213</v>
      </c>
      <c r="G16" s="211" t="s">
        <v>214</v>
      </c>
      <c r="H16" s="159" t="s">
        <v>208</v>
      </c>
      <c r="I16" s="160" t="s">
        <v>168</v>
      </c>
      <c r="J16" s="161">
        <v>4456</v>
      </c>
      <c r="K16" s="189" t="s">
        <v>215</v>
      </c>
      <c r="L16" s="190">
        <v>2</v>
      </c>
      <c r="M16" s="172" t="s">
        <v>182</v>
      </c>
      <c r="N16" s="207"/>
      <c r="O16" s="198" t="s">
        <v>171</v>
      </c>
      <c r="P16" s="199" t="s">
        <v>153</v>
      </c>
      <c r="Q16" s="94" t="s">
        <v>216</v>
      </c>
      <c r="R16" s="94"/>
      <c r="S16" s="216">
        <v>45102</v>
      </c>
    </row>
    <row r="17" spans="1:22" ht="15.75" x14ac:dyDescent="0.25">
      <c r="B17" s="154">
        <v>1</v>
      </c>
      <c r="C17" s="213"/>
      <c r="D17" s="217" t="s">
        <v>217</v>
      </c>
      <c r="E17" s="157" t="s">
        <v>218</v>
      </c>
      <c r="F17" s="170" t="s">
        <v>219</v>
      </c>
      <c r="G17" s="211" t="s">
        <v>220</v>
      </c>
      <c r="H17" s="159" t="s">
        <v>221</v>
      </c>
      <c r="I17" s="160" t="s">
        <v>168</v>
      </c>
      <c r="J17" s="161"/>
      <c r="K17" s="189" t="s">
        <v>222</v>
      </c>
      <c r="L17" s="190">
        <v>3</v>
      </c>
      <c r="M17" s="172" t="s">
        <v>160</v>
      </c>
      <c r="N17" s="207"/>
      <c r="O17" s="198" t="s">
        <v>171</v>
      </c>
      <c r="P17" s="199" t="s">
        <v>153</v>
      </c>
      <c r="Q17" s="94" t="s">
        <v>223</v>
      </c>
      <c r="R17" s="94"/>
      <c r="S17" s="216">
        <v>45208</v>
      </c>
    </row>
    <row r="18" spans="1:22" ht="15.75" x14ac:dyDescent="0.25">
      <c r="B18" s="154">
        <v>1</v>
      </c>
      <c r="C18" s="213"/>
      <c r="D18" s="215" t="s">
        <v>224</v>
      </c>
      <c r="E18" s="157" t="s">
        <v>225</v>
      </c>
      <c r="F18" s="170" t="s">
        <v>226</v>
      </c>
      <c r="G18" s="211" t="s">
        <v>227</v>
      </c>
      <c r="H18" s="159" t="s">
        <v>208</v>
      </c>
      <c r="I18" s="160" t="s">
        <v>168</v>
      </c>
      <c r="J18" s="161">
        <v>4455</v>
      </c>
      <c r="K18" s="189" t="s">
        <v>228</v>
      </c>
      <c r="L18" s="190">
        <v>2</v>
      </c>
      <c r="M18" s="172" t="s">
        <v>163</v>
      </c>
      <c r="N18" s="207"/>
      <c r="O18" s="198" t="s">
        <v>171</v>
      </c>
      <c r="P18" s="199" t="s">
        <v>229</v>
      </c>
      <c r="Q18" s="123"/>
      <c r="R18" s="123"/>
      <c r="S18" s="216"/>
    </row>
    <row r="19" spans="1:22" ht="15.75" x14ac:dyDescent="0.25">
      <c r="B19" s="154">
        <v>1</v>
      </c>
      <c r="C19" s="213"/>
      <c r="D19" s="215" t="s">
        <v>230</v>
      </c>
      <c r="E19" s="157" t="s">
        <v>231</v>
      </c>
      <c r="F19" s="170" t="s">
        <v>232</v>
      </c>
      <c r="G19" s="211" t="s">
        <v>233</v>
      </c>
      <c r="H19" s="159" t="s">
        <v>234</v>
      </c>
      <c r="I19" s="160"/>
      <c r="J19" s="161"/>
      <c r="K19" s="189" t="s">
        <v>231</v>
      </c>
      <c r="L19" s="190">
        <v>9</v>
      </c>
      <c r="M19" s="172" t="s">
        <v>182</v>
      </c>
      <c r="N19" s="207"/>
      <c r="O19" s="198" t="s">
        <v>171</v>
      </c>
      <c r="P19" s="199" t="s">
        <v>153</v>
      </c>
      <c r="Q19" s="218" t="s">
        <v>235</v>
      </c>
      <c r="R19" s="218"/>
      <c r="S19" s="216">
        <v>45372</v>
      </c>
    </row>
    <row r="20" spans="1:22" ht="15.75" x14ac:dyDescent="0.25">
      <c r="B20" s="154">
        <v>1</v>
      </c>
      <c r="C20" s="219"/>
      <c r="D20" s="217" t="s">
        <v>236</v>
      </c>
      <c r="E20" s="195" t="s">
        <v>237</v>
      </c>
      <c r="F20" s="158" t="s">
        <v>238</v>
      </c>
      <c r="G20" s="211" t="s">
        <v>239</v>
      </c>
      <c r="H20" s="159"/>
      <c r="I20" s="160" t="s">
        <v>168</v>
      </c>
      <c r="J20" s="161">
        <v>37777</v>
      </c>
      <c r="K20" s="189" t="s">
        <v>240</v>
      </c>
      <c r="L20" s="190">
        <v>2</v>
      </c>
      <c r="M20" s="172" t="s">
        <v>163</v>
      </c>
      <c r="N20" s="207"/>
      <c r="O20" s="198" t="s">
        <v>171</v>
      </c>
      <c r="P20" s="220" t="s">
        <v>229</v>
      </c>
      <c r="Q20" s="218" t="s">
        <v>241</v>
      </c>
      <c r="R20" s="218"/>
      <c r="S20" s="216">
        <v>45427</v>
      </c>
      <c r="T20" s="94" t="s">
        <v>242</v>
      </c>
      <c r="U20" s="94"/>
      <c r="V20" s="94"/>
    </row>
    <row r="21" spans="1:22" ht="15.75" x14ac:dyDescent="0.25">
      <c r="B21" s="154">
        <v>1</v>
      </c>
      <c r="C21" s="219"/>
      <c r="D21" s="217" t="s">
        <v>243</v>
      </c>
      <c r="E21" s="195" t="s">
        <v>244</v>
      </c>
      <c r="F21" s="158" t="s">
        <v>245</v>
      </c>
      <c r="G21" s="211" t="s">
        <v>246</v>
      </c>
      <c r="H21" s="159"/>
      <c r="I21" s="160" t="s">
        <v>168</v>
      </c>
      <c r="J21" s="161">
        <v>4456</v>
      </c>
      <c r="K21" s="189" t="s">
        <v>247</v>
      </c>
      <c r="L21" s="190"/>
      <c r="M21" s="172" t="s">
        <v>160</v>
      </c>
      <c r="N21" s="207"/>
      <c r="O21" s="198" t="s">
        <v>171</v>
      </c>
      <c r="P21" s="199" t="s">
        <v>153</v>
      </c>
      <c r="Q21" s="221"/>
      <c r="R21" s="221"/>
      <c r="S21" s="216"/>
      <c r="T21" s="123"/>
      <c r="U21" s="123"/>
      <c r="V21" s="123"/>
    </row>
    <row r="22" spans="1:22" ht="15.75" x14ac:dyDescent="0.25">
      <c r="B22" s="154">
        <v>1</v>
      </c>
      <c r="C22" s="219"/>
      <c r="D22" s="222" t="s">
        <v>248</v>
      </c>
      <c r="E22" s="157" t="s">
        <v>249</v>
      </c>
      <c r="F22" s="170" t="s">
        <v>250</v>
      </c>
      <c r="G22" s="211" t="s">
        <v>251</v>
      </c>
      <c r="H22" s="159" t="s">
        <v>252</v>
      </c>
      <c r="I22" s="160" t="s">
        <v>168</v>
      </c>
      <c r="J22" s="161">
        <v>4456</v>
      </c>
      <c r="K22" s="189" t="s">
        <v>253</v>
      </c>
      <c r="L22" s="223">
        <v>7</v>
      </c>
      <c r="M22" s="172" t="s">
        <v>152</v>
      </c>
      <c r="N22" s="191" t="s">
        <v>170</v>
      </c>
      <c r="O22" s="198" t="s">
        <v>171</v>
      </c>
      <c r="P22" s="175" t="s">
        <v>157</v>
      </c>
      <c r="Q22" s="221"/>
      <c r="R22" s="221"/>
      <c r="S22" s="216"/>
      <c r="T22" s="123"/>
      <c r="U22" s="123"/>
      <c r="V22" s="123"/>
    </row>
    <row r="23" spans="1:22" ht="15.75" x14ac:dyDescent="0.25">
      <c r="B23" s="154">
        <v>1</v>
      </c>
      <c r="C23" s="219"/>
      <c r="D23" s="215" t="s">
        <v>254</v>
      </c>
      <c r="E23" s="195" t="s">
        <v>255</v>
      </c>
      <c r="F23" s="158"/>
      <c r="G23" s="211"/>
      <c r="H23" s="159"/>
      <c r="I23" s="160"/>
      <c r="J23" s="161"/>
      <c r="K23" s="189"/>
      <c r="L23" s="190">
        <v>6</v>
      </c>
      <c r="M23" s="172" t="s">
        <v>163</v>
      </c>
      <c r="N23" s="207"/>
      <c r="O23" s="198"/>
      <c r="P23" s="199"/>
      <c r="Q23" s="94"/>
      <c r="R23" s="94"/>
    </row>
    <row r="24" spans="1:22" ht="15.75" x14ac:dyDescent="0.25">
      <c r="B24" s="154">
        <v>1</v>
      </c>
      <c r="C24" s="219"/>
      <c r="D24" s="215" t="s">
        <v>256</v>
      </c>
      <c r="E24" s="195" t="s">
        <v>257</v>
      </c>
      <c r="F24" s="158" t="s">
        <v>258</v>
      </c>
      <c r="G24" s="211" t="s">
        <v>259</v>
      </c>
      <c r="H24" s="159" t="s">
        <v>260</v>
      </c>
      <c r="I24" s="160" t="s">
        <v>168</v>
      </c>
      <c r="J24" s="161">
        <v>4456</v>
      </c>
      <c r="K24" s="189" t="s">
        <v>261</v>
      </c>
      <c r="L24" s="190">
        <v>3</v>
      </c>
      <c r="M24" s="172" t="s">
        <v>262</v>
      </c>
      <c r="N24" s="207"/>
      <c r="O24" s="198" t="s">
        <v>171</v>
      </c>
      <c r="P24" s="199" t="s">
        <v>153</v>
      </c>
      <c r="Q24" s="123"/>
      <c r="R24" s="123"/>
    </row>
    <row r="25" spans="1:22" ht="15.75" x14ac:dyDescent="0.25">
      <c r="B25" s="154"/>
      <c r="C25" s="219"/>
      <c r="D25" s="215" t="s">
        <v>263</v>
      </c>
      <c r="E25" s="195" t="s">
        <v>264</v>
      </c>
      <c r="F25" s="158"/>
      <c r="G25" s="211" t="s">
        <v>264</v>
      </c>
      <c r="H25" s="159"/>
      <c r="I25" s="160" t="s">
        <v>265</v>
      </c>
      <c r="J25" s="161">
        <v>37777</v>
      </c>
      <c r="K25" s="189" t="s">
        <v>264</v>
      </c>
      <c r="L25" s="190">
        <v>1</v>
      </c>
      <c r="M25" s="172" t="s">
        <v>266</v>
      </c>
      <c r="N25" s="207"/>
      <c r="O25" s="198"/>
      <c r="P25" s="199"/>
      <c r="Q25" s="123"/>
      <c r="R25" s="123"/>
    </row>
    <row r="26" spans="1:22" ht="15.75" x14ac:dyDescent="0.25">
      <c r="B26" s="154">
        <v>1</v>
      </c>
      <c r="C26" s="219"/>
      <c r="D26" s="215" t="s">
        <v>267</v>
      </c>
      <c r="E26" s="195" t="s">
        <v>268</v>
      </c>
      <c r="F26" s="158" t="s">
        <v>269</v>
      </c>
      <c r="G26" s="211" t="s">
        <v>270</v>
      </c>
      <c r="H26" s="159" t="s">
        <v>271</v>
      </c>
      <c r="I26" s="160" t="s">
        <v>168</v>
      </c>
      <c r="J26" s="161">
        <v>4456</v>
      </c>
      <c r="K26" s="189" t="s">
        <v>272</v>
      </c>
      <c r="L26" s="190">
        <v>2</v>
      </c>
      <c r="M26" s="172" t="s">
        <v>182</v>
      </c>
      <c r="N26" s="207"/>
      <c r="O26" s="198" t="s">
        <v>171</v>
      </c>
      <c r="P26" s="199" t="s">
        <v>229</v>
      </c>
      <c r="Q26" s="123"/>
      <c r="R26" s="123"/>
    </row>
    <row r="27" spans="1:22" ht="15.75" x14ac:dyDescent="0.25">
      <c r="A27">
        <v>1</v>
      </c>
      <c r="B27" s="154"/>
      <c r="C27" s="219"/>
      <c r="D27" s="215" t="s">
        <v>273</v>
      </c>
      <c r="E27" s="195" t="s">
        <v>274</v>
      </c>
      <c r="F27" s="158" t="s">
        <v>275</v>
      </c>
      <c r="G27" s="211" t="s">
        <v>276</v>
      </c>
      <c r="H27" s="159" t="s">
        <v>271</v>
      </c>
      <c r="I27" s="160"/>
      <c r="J27" s="161"/>
      <c r="K27" s="189"/>
      <c r="L27" s="190">
        <v>1</v>
      </c>
      <c r="M27" s="224" t="s">
        <v>277</v>
      </c>
      <c r="N27" s="207"/>
      <c r="O27" s="198" t="s">
        <v>171</v>
      </c>
      <c r="P27" s="199" t="s">
        <v>278</v>
      </c>
      <c r="Q27" s="123"/>
      <c r="R27" s="123"/>
    </row>
    <row r="28" spans="1:22" ht="16.5" thickBot="1" x14ac:dyDescent="0.3">
      <c r="B28" s="154">
        <v>1</v>
      </c>
      <c r="C28" s="225"/>
      <c r="D28" s="226" t="s">
        <v>279</v>
      </c>
      <c r="E28" s="178" t="s">
        <v>280</v>
      </c>
      <c r="F28" s="179" t="s">
        <v>281</v>
      </c>
      <c r="G28" s="227" t="s">
        <v>282</v>
      </c>
      <c r="H28" s="180" t="s">
        <v>283</v>
      </c>
      <c r="I28" s="181" t="s">
        <v>168</v>
      </c>
      <c r="J28" s="182">
        <v>4456</v>
      </c>
      <c r="K28" s="228" t="s">
        <v>284</v>
      </c>
      <c r="L28" s="229">
        <v>4</v>
      </c>
      <c r="M28" s="185" t="s">
        <v>182</v>
      </c>
      <c r="N28" s="230" t="s">
        <v>285</v>
      </c>
      <c r="O28" s="231" t="s">
        <v>171</v>
      </c>
      <c r="P28" s="232"/>
      <c r="Q28" s="233" t="s">
        <v>286</v>
      </c>
      <c r="R28" s="233"/>
      <c r="S28" s="216">
        <v>45512</v>
      </c>
      <c r="T28" s="94" t="s">
        <v>287</v>
      </c>
      <c r="U28" s="94"/>
      <c r="V28" s="94"/>
    </row>
    <row r="29" spans="1:22" ht="15.75" x14ac:dyDescent="0.25">
      <c r="B29" s="154">
        <v>1</v>
      </c>
      <c r="C29" s="234" t="s">
        <v>288</v>
      </c>
      <c r="D29" s="235" t="s">
        <v>289</v>
      </c>
      <c r="E29" s="236" t="s">
        <v>290</v>
      </c>
      <c r="F29" s="237" t="s">
        <v>291</v>
      </c>
      <c r="G29" s="238" t="s">
        <v>292</v>
      </c>
      <c r="H29" s="239" t="s">
        <v>293</v>
      </c>
      <c r="I29" s="240" t="s">
        <v>168</v>
      </c>
      <c r="J29" s="241">
        <v>37777</v>
      </c>
      <c r="K29" s="242" t="s">
        <v>294</v>
      </c>
      <c r="L29" s="243">
        <v>4</v>
      </c>
      <c r="M29" s="164" t="s">
        <v>163</v>
      </c>
      <c r="N29" s="212"/>
      <c r="O29" s="198" t="s">
        <v>171</v>
      </c>
      <c r="P29" s="199"/>
      <c r="Q29" s="218" t="s">
        <v>295</v>
      </c>
      <c r="R29" s="218"/>
      <c r="S29" s="216">
        <v>45560</v>
      </c>
    </row>
    <row r="30" spans="1:22" ht="15.75" x14ac:dyDescent="0.25">
      <c r="B30" s="154">
        <v>1</v>
      </c>
      <c r="C30" s="244"/>
      <c r="D30" s="215" t="s">
        <v>22</v>
      </c>
      <c r="E30" s="157" t="s">
        <v>296</v>
      </c>
      <c r="F30" s="170" t="s">
        <v>297</v>
      </c>
      <c r="G30" s="211" t="s">
        <v>298</v>
      </c>
      <c r="H30" s="159" t="s">
        <v>299</v>
      </c>
      <c r="I30" s="160" t="s">
        <v>168</v>
      </c>
      <c r="J30" s="161">
        <v>37777</v>
      </c>
      <c r="K30" s="189" t="s">
        <v>300</v>
      </c>
      <c r="L30" s="223">
        <v>4</v>
      </c>
      <c r="M30" s="172" t="s">
        <v>160</v>
      </c>
      <c r="N30" s="207"/>
      <c r="O30" s="198" t="s">
        <v>171</v>
      </c>
      <c r="P30" s="199" t="s">
        <v>153</v>
      </c>
      <c r="Q30" s="94"/>
      <c r="R30" s="94"/>
    </row>
    <row r="31" spans="1:22" ht="15.75" x14ac:dyDescent="0.25">
      <c r="B31" s="154">
        <v>1</v>
      </c>
      <c r="C31" s="244"/>
      <c r="D31" s="214" t="s">
        <v>301</v>
      </c>
      <c r="E31" s="157" t="s">
        <v>302</v>
      </c>
      <c r="F31" s="170" t="s">
        <v>303</v>
      </c>
      <c r="G31" s="211" t="s">
        <v>304</v>
      </c>
      <c r="H31" s="159" t="s">
        <v>305</v>
      </c>
      <c r="I31" s="160" t="s">
        <v>168</v>
      </c>
      <c r="J31" s="161">
        <v>37777</v>
      </c>
      <c r="K31" s="189" t="s">
        <v>306</v>
      </c>
      <c r="L31" s="223">
        <v>2</v>
      </c>
      <c r="M31" s="172" t="s">
        <v>307</v>
      </c>
      <c r="N31" s="207"/>
      <c r="O31" s="198" t="s">
        <v>171</v>
      </c>
      <c r="P31" s="199"/>
      <c r="Q31" s="233" t="s">
        <v>308</v>
      </c>
      <c r="R31" s="233"/>
      <c r="S31" s="245">
        <v>45510</v>
      </c>
      <c r="T31" s="94" t="s">
        <v>309</v>
      </c>
      <c r="U31" s="94"/>
      <c r="V31" s="94"/>
    </row>
    <row r="32" spans="1:22" ht="15.75" x14ac:dyDescent="0.25">
      <c r="B32" s="154"/>
      <c r="C32" s="244"/>
      <c r="D32" s="215"/>
      <c r="E32" s="157" t="s">
        <v>310</v>
      </c>
      <c r="F32" s="170" t="s">
        <v>311</v>
      </c>
      <c r="G32" s="211" t="s">
        <v>312</v>
      </c>
      <c r="H32" s="159" t="s">
        <v>313</v>
      </c>
      <c r="I32" s="160" t="s">
        <v>168</v>
      </c>
      <c r="J32" s="161">
        <v>37777</v>
      </c>
      <c r="K32" s="189" t="s">
        <v>314</v>
      </c>
      <c r="L32" s="223">
        <v>3</v>
      </c>
      <c r="M32" s="172" t="s">
        <v>315</v>
      </c>
      <c r="N32" s="207"/>
      <c r="O32" s="198" t="s">
        <v>171</v>
      </c>
      <c r="P32" s="199"/>
    </row>
    <row r="33" spans="1:22" ht="15.75" x14ac:dyDescent="0.25">
      <c r="B33" s="154">
        <v>1</v>
      </c>
      <c r="C33" s="244"/>
      <c r="D33" s="215" t="s">
        <v>26</v>
      </c>
      <c r="E33" s="157" t="s">
        <v>316</v>
      </c>
      <c r="F33" s="170" t="s">
        <v>317</v>
      </c>
      <c r="G33" s="211" t="s">
        <v>318</v>
      </c>
      <c r="H33" s="159" t="s">
        <v>313</v>
      </c>
      <c r="I33" s="160" t="s">
        <v>168</v>
      </c>
      <c r="J33" s="161">
        <v>37777</v>
      </c>
      <c r="K33" s="189" t="s">
        <v>314</v>
      </c>
      <c r="L33" s="223">
        <v>3</v>
      </c>
      <c r="M33" s="172" t="s">
        <v>152</v>
      </c>
      <c r="N33" s="207"/>
      <c r="O33" s="198" t="s">
        <v>171</v>
      </c>
      <c r="P33" s="199"/>
      <c r="Q33" s="233" t="s">
        <v>319</v>
      </c>
      <c r="R33" s="233"/>
      <c r="S33" s="245">
        <v>45490</v>
      </c>
      <c r="T33" s="94" t="s">
        <v>320</v>
      </c>
      <c r="U33" s="94"/>
      <c r="V33" s="94"/>
    </row>
    <row r="34" spans="1:22" ht="15.75" x14ac:dyDescent="0.25">
      <c r="B34" s="154">
        <v>1</v>
      </c>
      <c r="C34" s="244"/>
      <c r="D34" s="215" t="s">
        <v>30</v>
      </c>
      <c r="E34" s="157" t="s">
        <v>321</v>
      </c>
      <c r="F34" s="170" t="s">
        <v>322</v>
      </c>
      <c r="G34" s="211" t="s">
        <v>323</v>
      </c>
      <c r="H34" s="159" t="s">
        <v>324</v>
      </c>
      <c r="I34" s="160" t="s">
        <v>168</v>
      </c>
      <c r="J34" s="161">
        <v>37777</v>
      </c>
      <c r="K34" s="189" t="s">
        <v>325</v>
      </c>
      <c r="L34" s="223">
        <v>3</v>
      </c>
      <c r="M34" s="172" t="s">
        <v>163</v>
      </c>
      <c r="N34" s="207"/>
      <c r="O34" s="198" t="s">
        <v>171</v>
      </c>
      <c r="P34" s="199"/>
    </row>
    <row r="35" spans="1:22" ht="15.75" x14ac:dyDescent="0.25">
      <c r="B35" s="154">
        <v>1</v>
      </c>
      <c r="C35" s="244"/>
      <c r="D35" s="215" t="s">
        <v>37</v>
      </c>
      <c r="E35" s="157" t="s">
        <v>326</v>
      </c>
      <c r="F35" s="170" t="s">
        <v>327</v>
      </c>
      <c r="G35" s="211" t="s">
        <v>328</v>
      </c>
      <c r="H35" s="159" t="s">
        <v>329</v>
      </c>
      <c r="I35" s="160" t="s">
        <v>168</v>
      </c>
      <c r="J35" s="161">
        <v>37777</v>
      </c>
      <c r="K35" s="189" t="s">
        <v>330</v>
      </c>
      <c r="L35" s="223">
        <v>2</v>
      </c>
      <c r="M35" s="172" t="s">
        <v>160</v>
      </c>
      <c r="N35" s="207"/>
      <c r="O35" s="198" t="s">
        <v>171</v>
      </c>
      <c r="P35" s="199"/>
    </row>
    <row r="36" spans="1:22" ht="15.75" x14ac:dyDescent="0.25">
      <c r="B36" s="154">
        <v>1</v>
      </c>
      <c r="C36" s="244"/>
      <c r="D36" s="215" t="s">
        <v>331</v>
      </c>
      <c r="E36" s="157" t="s">
        <v>332</v>
      </c>
      <c r="F36" s="170" t="s">
        <v>333</v>
      </c>
      <c r="G36" s="211" t="s">
        <v>334</v>
      </c>
      <c r="H36" s="159" t="s">
        <v>335</v>
      </c>
      <c r="I36" s="160" t="s">
        <v>168</v>
      </c>
      <c r="J36" s="161">
        <v>37777</v>
      </c>
      <c r="K36" s="189" t="s">
        <v>306</v>
      </c>
      <c r="L36" s="223">
        <v>2</v>
      </c>
      <c r="M36" s="172" t="s">
        <v>163</v>
      </c>
      <c r="N36" s="207"/>
      <c r="O36" s="198" t="s">
        <v>171</v>
      </c>
      <c r="P36" s="199"/>
    </row>
    <row r="37" spans="1:22" ht="15.75" x14ac:dyDescent="0.25">
      <c r="B37" s="154"/>
      <c r="C37" s="244"/>
      <c r="D37" s="215"/>
      <c r="E37" s="157"/>
      <c r="F37" s="170"/>
      <c r="G37" s="211"/>
      <c r="H37" s="159"/>
      <c r="I37" s="160"/>
      <c r="J37" s="161"/>
      <c r="K37" s="189"/>
      <c r="L37" s="223"/>
      <c r="M37" s="172"/>
      <c r="N37" s="207"/>
      <c r="O37" s="198"/>
      <c r="P37" s="199"/>
    </row>
    <row r="38" spans="1:22" ht="15.75" x14ac:dyDescent="0.25">
      <c r="B38" s="154">
        <v>1</v>
      </c>
      <c r="C38" s="244"/>
      <c r="D38" s="215" t="s">
        <v>336</v>
      </c>
      <c r="E38" s="157" t="s">
        <v>337</v>
      </c>
      <c r="F38" s="170" t="s">
        <v>338</v>
      </c>
      <c r="G38" s="211" t="s">
        <v>339</v>
      </c>
      <c r="H38" s="159"/>
      <c r="I38" s="160" t="s">
        <v>168</v>
      </c>
      <c r="J38" s="161">
        <v>4456</v>
      </c>
      <c r="K38" s="189" t="s">
        <v>340</v>
      </c>
      <c r="L38" s="223">
        <v>2</v>
      </c>
      <c r="M38" s="172" t="s">
        <v>163</v>
      </c>
      <c r="N38" s="207"/>
      <c r="O38" s="198" t="s">
        <v>171</v>
      </c>
      <c r="P38" s="199"/>
    </row>
    <row r="39" spans="1:22" ht="15.75" x14ac:dyDescent="0.25">
      <c r="B39" s="154">
        <v>1</v>
      </c>
      <c r="C39" s="244"/>
      <c r="D39" s="246" t="s">
        <v>341</v>
      </c>
      <c r="E39" s="157" t="s">
        <v>342</v>
      </c>
      <c r="F39" s="170" t="s">
        <v>343</v>
      </c>
      <c r="G39" s="211" t="s">
        <v>344</v>
      </c>
      <c r="H39" s="159" t="s">
        <v>271</v>
      </c>
      <c r="I39" s="160" t="s">
        <v>168</v>
      </c>
      <c r="J39" s="161">
        <v>4456</v>
      </c>
      <c r="K39" s="189" t="s">
        <v>345</v>
      </c>
      <c r="L39" s="223">
        <v>3</v>
      </c>
      <c r="M39" s="172" t="s">
        <v>163</v>
      </c>
      <c r="N39" s="207"/>
      <c r="O39" s="198"/>
      <c r="P39" s="220" t="s">
        <v>346</v>
      </c>
    </row>
    <row r="40" spans="1:22" ht="15.75" x14ac:dyDescent="0.25">
      <c r="B40" s="154">
        <v>1</v>
      </c>
      <c r="C40" s="244"/>
      <c r="D40" s="217" t="s">
        <v>347</v>
      </c>
      <c r="E40" s="157" t="s">
        <v>348</v>
      </c>
      <c r="F40" s="170" t="s">
        <v>349</v>
      </c>
      <c r="G40" s="211"/>
      <c r="H40" s="159"/>
      <c r="I40" s="160" t="s">
        <v>168</v>
      </c>
      <c r="J40" s="161">
        <v>4456</v>
      </c>
      <c r="K40" s="189" t="s">
        <v>350</v>
      </c>
      <c r="L40" s="223">
        <v>2</v>
      </c>
      <c r="M40" s="172" t="s">
        <v>182</v>
      </c>
      <c r="N40" s="207"/>
      <c r="O40" s="198" t="s">
        <v>171</v>
      </c>
      <c r="P40" s="220" t="s">
        <v>346</v>
      </c>
    </row>
    <row r="41" spans="1:22" ht="15.75" x14ac:dyDescent="0.25">
      <c r="B41" s="154">
        <v>1</v>
      </c>
      <c r="C41" s="244"/>
      <c r="D41" s="217" t="s">
        <v>351</v>
      </c>
      <c r="E41" s="157" t="s">
        <v>352</v>
      </c>
      <c r="F41" s="170" t="s">
        <v>353</v>
      </c>
      <c r="G41" s="211"/>
      <c r="H41" s="159"/>
      <c r="I41" s="160" t="s">
        <v>168</v>
      </c>
      <c r="J41" s="161">
        <v>37777</v>
      </c>
      <c r="K41" s="189" t="s">
        <v>354</v>
      </c>
      <c r="L41" s="223">
        <v>4</v>
      </c>
      <c r="M41" s="172" t="s">
        <v>355</v>
      </c>
      <c r="N41" s="247" t="s">
        <v>285</v>
      </c>
      <c r="O41" s="198" t="s">
        <v>171</v>
      </c>
      <c r="P41" s="220" t="s">
        <v>346</v>
      </c>
    </row>
    <row r="42" spans="1:22" ht="15.75" x14ac:dyDescent="0.25">
      <c r="B42" s="154">
        <v>1</v>
      </c>
      <c r="C42" s="244"/>
      <c r="D42" s="217" t="s">
        <v>356</v>
      </c>
      <c r="E42" s="157" t="s">
        <v>357</v>
      </c>
      <c r="F42" s="170" t="s">
        <v>358</v>
      </c>
      <c r="G42" s="211" t="s">
        <v>359</v>
      </c>
      <c r="H42" s="159"/>
      <c r="I42" s="160" t="s">
        <v>168</v>
      </c>
      <c r="J42" s="161">
        <v>37777</v>
      </c>
      <c r="K42" s="189" t="s">
        <v>360</v>
      </c>
      <c r="L42" s="223">
        <v>2</v>
      </c>
      <c r="M42" s="172" t="s">
        <v>182</v>
      </c>
      <c r="N42" s="207"/>
      <c r="O42" s="198" t="s">
        <v>171</v>
      </c>
      <c r="P42" s="220" t="s">
        <v>346</v>
      </c>
    </row>
    <row r="43" spans="1:22" ht="15.75" x14ac:dyDescent="0.25">
      <c r="B43" s="154">
        <v>1</v>
      </c>
      <c r="C43" s="244"/>
      <c r="D43" s="214" t="s">
        <v>361</v>
      </c>
      <c r="E43" s="157" t="s">
        <v>362</v>
      </c>
      <c r="F43" s="170" t="s">
        <v>363</v>
      </c>
      <c r="G43" s="211" t="s">
        <v>364</v>
      </c>
      <c r="H43" s="159" t="s">
        <v>365</v>
      </c>
      <c r="I43" s="160" t="s">
        <v>168</v>
      </c>
      <c r="J43" s="161">
        <v>37777</v>
      </c>
      <c r="K43" s="189" t="s">
        <v>366</v>
      </c>
      <c r="L43" s="223">
        <v>3</v>
      </c>
      <c r="M43" s="172" t="s">
        <v>163</v>
      </c>
      <c r="N43" s="191" t="s">
        <v>170</v>
      </c>
      <c r="O43" s="198" t="s">
        <v>171</v>
      </c>
      <c r="P43" s="248" t="s">
        <v>157</v>
      </c>
    </row>
    <row r="44" spans="1:22" ht="15.75" x14ac:dyDescent="0.25">
      <c r="B44" s="154">
        <v>1</v>
      </c>
      <c r="C44" s="244"/>
      <c r="D44" s="246" t="s">
        <v>367</v>
      </c>
      <c r="E44" s="157" t="s">
        <v>368</v>
      </c>
      <c r="F44" s="170" t="s">
        <v>208</v>
      </c>
      <c r="G44" s="211" t="s">
        <v>369</v>
      </c>
      <c r="H44" s="159" t="s">
        <v>370</v>
      </c>
      <c r="I44" s="160" t="s">
        <v>168</v>
      </c>
      <c r="J44" s="161">
        <v>4456</v>
      </c>
      <c r="K44" s="249" t="s">
        <v>371</v>
      </c>
      <c r="L44" s="223">
        <v>1</v>
      </c>
      <c r="M44" s="172" t="s">
        <v>372</v>
      </c>
      <c r="N44" s="207"/>
      <c r="O44" s="198" t="s">
        <v>171</v>
      </c>
      <c r="P44" s="199"/>
    </row>
    <row r="45" spans="1:22" ht="15.75" x14ac:dyDescent="0.25">
      <c r="A45">
        <v>1</v>
      </c>
      <c r="B45" s="154">
        <v>0</v>
      </c>
      <c r="C45" s="244"/>
      <c r="D45" s="250" t="s">
        <v>373</v>
      </c>
      <c r="E45" s="251" t="s">
        <v>374</v>
      </c>
      <c r="F45" s="252" t="s">
        <v>375</v>
      </c>
      <c r="G45" s="253" t="s">
        <v>376</v>
      </c>
      <c r="H45" s="254"/>
      <c r="I45" s="255"/>
      <c r="J45" s="256"/>
      <c r="K45" s="257"/>
      <c r="L45" s="223">
        <v>1</v>
      </c>
      <c r="M45" s="224" t="s">
        <v>277</v>
      </c>
      <c r="N45" s="207"/>
      <c r="O45" s="198" t="s">
        <v>171</v>
      </c>
      <c r="P45" s="199"/>
    </row>
    <row r="46" spans="1:22" ht="15.75" x14ac:dyDescent="0.25">
      <c r="A46">
        <v>1</v>
      </c>
      <c r="B46" s="154">
        <v>0</v>
      </c>
      <c r="C46" s="244"/>
      <c r="D46" s="217" t="s">
        <v>377</v>
      </c>
      <c r="E46" s="157" t="s">
        <v>378</v>
      </c>
      <c r="F46" s="170" t="s">
        <v>208</v>
      </c>
      <c r="G46" s="211" t="s">
        <v>379</v>
      </c>
      <c r="H46" s="159"/>
      <c r="I46" s="160"/>
      <c r="J46" s="161"/>
      <c r="K46" s="249"/>
      <c r="L46" s="223">
        <v>1</v>
      </c>
      <c r="M46" s="172" t="s">
        <v>163</v>
      </c>
      <c r="N46" s="207"/>
      <c r="O46" s="198" t="s">
        <v>171</v>
      </c>
      <c r="P46" s="199"/>
      <c r="R46">
        <f>SUM(L9:L67)</f>
        <v>168</v>
      </c>
    </row>
    <row r="47" spans="1:22" ht="15.75" x14ac:dyDescent="0.25">
      <c r="B47" s="154">
        <v>1</v>
      </c>
      <c r="C47" s="244"/>
      <c r="D47" s="215" t="s">
        <v>380</v>
      </c>
      <c r="E47" s="157" t="s">
        <v>381</v>
      </c>
      <c r="F47" s="170" t="s">
        <v>382</v>
      </c>
      <c r="G47" s="211" t="s">
        <v>383</v>
      </c>
      <c r="H47" s="159" t="s">
        <v>384</v>
      </c>
      <c r="I47" s="160" t="s">
        <v>168</v>
      </c>
      <c r="J47" s="161">
        <v>37777</v>
      </c>
      <c r="K47" s="249" t="s">
        <v>385</v>
      </c>
      <c r="L47" s="223">
        <v>4</v>
      </c>
      <c r="M47" s="172" t="s">
        <v>163</v>
      </c>
      <c r="N47" s="207"/>
      <c r="O47" s="258"/>
      <c r="P47" s="259"/>
    </row>
    <row r="48" spans="1:22" ht="15.75" x14ac:dyDescent="0.25">
      <c r="B48" s="154">
        <v>1</v>
      </c>
      <c r="C48" s="244"/>
      <c r="D48" s="215" t="s">
        <v>47</v>
      </c>
      <c r="E48" s="157" t="s">
        <v>386</v>
      </c>
      <c r="F48" s="170" t="s">
        <v>387</v>
      </c>
      <c r="G48" s="211" t="s">
        <v>388</v>
      </c>
      <c r="H48" s="159" t="s">
        <v>389</v>
      </c>
      <c r="I48" s="160" t="s">
        <v>168</v>
      </c>
      <c r="J48" s="161">
        <v>37777</v>
      </c>
      <c r="K48" s="249" t="s">
        <v>390</v>
      </c>
      <c r="L48" s="223">
        <v>2</v>
      </c>
      <c r="M48" s="172" t="s">
        <v>307</v>
      </c>
      <c r="N48" s="207"/>
      <c r="O48" s="258"/>
      <c r="P48" s="259"/>
    </row>
    <row r="49" spans="1:19" ht="15.75" x14ac:dyDescent="0.25">
      <c r="B49" s="154">
        <v>1</v>
      </c>
      <c r="C49" s="244"/>
      <c r="D49" s="215" t="s">
        <v>50</v>
      </c>
      <c r="E49" s="157" t="s">
        <v>391</v>
      </c>
      <c r="F49" s="170" t="s">
        <v>392</v>
      </c>
      <c r="G49" s="211" t="s">
        <v>393</v>
      </c>
      <c r="H49" s="159" t="s">
        <v>394</v>
      </c>
      <c r="I49" s="160" t="s">
        <v>168</v>
      </c>
      <c r="J49" s="161">
        <v>37777</v>
      </c>
      <c r="K49" s="249" t="s">
        <v>395</v>
      </c>
      <c r="L49" s="223">
        <v>2</v>
      </c>
      <c r="M49" s="172" t="s">
        <v>163</v>
      </c>
      <c r="N49" s="247" t="s">
        <v>285</v>
      </c>
      <c r="O49" s="258"/>
      <c r="P49" s="220" t="s">
        <v>346</v>
      </c>
    </row>
    <row r="50" spans="1:19" ht="15.75" x14ac:dyDescent="0.25">
      <c r="B50" s="154">
        <v>1</v>
      </c>
      <c r="C50" s="260"/>
      <c r="D50" s="246" t="s">
        <v>396</v>
      </c>
      <c r="E50" s="157"/>
      <c r="F50" s="170" t="s">
        <v>397</v>
      </c>
      <c r="G50" s="211" t="s">
        <v>398</v>
      </c>
      <c r="H50" s="159"/>
      <c r="I50" s="160"/>
      <c r="J50" s="161"/>
      <c r="K50" s="249" t="s">
        <v>399</v>
      </c>
      <c r="L50" s="223">
        <v>5</v>
      </c>
      <c r="M50" s="172" t="s">
        <v>163</v>
      </c>
      <c r="N50" s="247" t="s">
        <v>285</v>
      </c>
      <c r="O50" s="258"/>
      <c r="P50" s="220" t="s">
        <v>346</v>
      </c>
    </row>
    <row r="51" spans="1:19" ht="16.5" thickBot="1" x14ac:dyDescent="0.3">
      <c r="B51" s="154"/>
      <c r="C51" s="261"/>
      <c r="D51" s="262"/>
      <c r="E51" s="263"/>
      <c r="F51" s="264"/>
      <c r="G51" s="265"/>
      <c r="H51" s="266"/>
      <c r="I51" s="267"/>
      <c r="J51" s="268"/>
      <c r="K51" s="269"/>
      <c r="L51" s="229"/>
      <c r="M51" s="270"/>
      <c r="N51" s="197"/>
      <c r="O51" s="271"/>
      <c r="P51" s="272"/>
    </row>
    <row r="52" spans="1:19" ht="15.75" x14ac:dyDescent="0.25">
      <c r="B52" s="154">
        <v>1</v>
      </c>
      <c r="C52" s="273" t="s">
        <v>400</v>
      </c>
      <c r="D52" s="274" t="s">
        <v>401</v>
      </c>
      <c r="E52" s="236" t="s">
        <v>402</v>
      </c>
      <c r="F52" s="237" t="s">
        <v>403</v>
      </c>
      <c r="G52" s="238" t="s">
        <v>404</v>
      </c>
      <c r="H52" s="239" t="s">
        <v>405</v>
      </c>
      <c r="I52" s="240" t="s">
        <v>168</v>
      </c>
      <c r="J52" s="241">
        <v>37777</v>
      </c>
      <c r="K52" s="242" t="s">
        <v>406</v>
      </c>
      <c r="L52" s="243">
        <v>3</v>
      </c>
      <c r="M52" s="164" t="s">
        <v>163</v>
      </c>
      <c r="N52" s="212"/>
      <c r="O52" s="275"/>
      <c r="P52" s="276" t="s">
        <v>153</v>
      </c>
    </row>
    <row r="53" spans="1:19" ht="15.75" x14ac:dyDescent="0.25">
      <c r="B53" s="154">
        <v>1</v>
      </c>
      <c r="C53" s="277"/>
      <c r="D53" s="215" t="s">
        <v>407</v>
      </c>
      <c r="E53" s="157" t="s">
        <v>408</v>
      </c>
      <c r="F53" s="170" t="s">
        <v>409</v>
      </c>
      <c r="G53" s="211" t="s">
        <v>410</v>
      </c>
      <c r="H53" s="159" t="s">
        <v>411</v>
      </c>
      <c r="I53" s="160" t="s">
        <v>168</v>
      </c>
      <c r="J53" s="161">
        <v>37777</v>
      </c>
      <c r="K53" s="249" t="s">
        <v>412</v>
      </c>
      <c r="L53" s="223">
        <v>2</v>
      </c>
      <c r="M53" s="172" t="s">
        <v>163</v>
      </c>
      <c r="N53" s="247"/>
      <c r="O53" s="258"/>
      <c r="P53" s="259"/>
    </row>
    <row r="54" spans="1:19" ht="15.75" x14ac:dyDescent="0.25">
      <c r="B54" s="154">
        <v>1</v>
      </c>
      <c r="C54" s="277"/>
      <c r="D54" s="215" t="s">
        <v>55</v>
      </c>
      <c r="E54" s="157" t="s">
        <v>413</v>
      </c>
      <c r="F54" s="170" t="s">
        <v>414</v>
      </c>
      <c r="G54" s="211" t="s">
        <v>415</v>
      </c>
      <c r="H54" s="159" t="s">
        <v>416</v>
      </c>
      <c r="I54" s="160" t="s">
        <v>168</v>
      </c>
      <c r="J54" s="161">
        <v>37777</v>
      </c>
      <c r="K54" s="249" t="s">
        <v>417</v>
      </c>
      <c r="L54" s="223">
        <v>2</v>
      </c>
      <c r="M54" s="172" t="s">
        <v>163</v>
      </c>
      <c r="N54" s="247" t="s">
        <v>285</v>
      </c>
      <c r="O54" s="258"/>
      <c r="P54" s="220" t="s">
        <v>346</v>
      </c>
    </row>
    <row r="55" spans="1:19" ht="15.75" x14ac:dyDescent="0.25">
      <c r="B55" s="154">
        <v>1</v>
      </c>
      <c r="C55" s="277"/>
      <c r="D55" s="246" t="s">
        <v>418</v>
      </c>
      <c r="E55" s="157" t="s">
        <v>419</v>
      </c>
      <c r="F55" s="170"/>
      <c r="G55" s="211" t="s">
        <v>420</v>
      </c>
      <c r="H55" s="159"/>
      <c r="I55" s="160" t="s">
        <v>168</v>
      </c>
      <c r="J55" s="161">
        <v>4456</v>
      </c>
      <c r="K55" s="249" t="s">
        <v>421</v>
      </c>
      <c r="L55" s="223">
        <v>2</v>
      </c>
      <c r="M55" s="172" t="s">
        <v>422</v>
      </c>
      <c r="N55" s="247" t="s">
        <v>285</v>
      </c>
      <c r="O55" s="258"/>
      <c r="P55" s="259"/>
    </row>
    <row r="56" spans="1:19" ht="15.75" x14ac:dyDescent="0.25">
      <c r="B56" s="154">
        <v>1</v>
      </c>
      <c r="C56" s="277"/>
      <c r="D56" s="246" t="s">
        <v>423</v>
      </c>
      <c r="E56" s="157" t="s">
        <v>424</v>
      </c>
      <c r="F56" s="170"/>
      <c r="G56" s="211" t="s">
        <v>425</v>
      </c>
      <c r="H56" s="159"/>
      <c r="I56" s="160" t="s">
        <v>168</v>
      </c>
      <c r="J56" s="161">
        <v>4456</v>
      </c>
      <c r="K56" s="249" t="s">
        <v>426</v>
      </c>
      <c r="L56" s="223">
        <v>2</v>
      </c>
      <c r="M56" s="172" t="s">
        <v>182</v>
      </c>
      <c r="N56" s="247" t="s">
        <v>285</v>
      </c>
      <c r="O56" s="258"/>
      <c r="P56" s="259" t="s">
        <v>427</v>
      </c>
      <c r="S56" t="s">
        <v>428</v>
      </c>
    </row>
    <row r="57" spans="1:19" ht="15.75" x14ac:dyDescent="0.25">
      <c r="B57" s="154">
        <v>1</v>
      </c>
      <c r="C57" s="277"/>
      <c r="D57" s="215" t="s">
        <v>429</v>
      </c>
      <c r="E57" s="157" t="s">
        <v>430</v>
      </c>
      <c r="F57" s="170" t="s">
        <v>431</v>
      </c>
      <c r="G57" s="211" t="s">
        <v>432</v>
      </c>
      <c r="H57" s="159" t="s">
        <v>433</v>
      </c>
      <c r="I57" s="160" t="s">
        <v>168</v>
      </c>
      <c r="J57" s="161">
        <v>4455</v>
      </c>
      <c r="K57" s="249" t="s">
        <v>434</v>
      </c>
      <c r="L57" s="223">
        <v>2</v>
      </c>
      <c r="M57" s="172" t="s">
        <v>182</v>
      </c>
      <c r="N57" s="247"/>
      <c r="O57" s="258"/>
      <c r="P57" s="220"/>
    </row>
    <row r="58" spans="1:19" ht="15.75" x14ac:dyDescent="0.25">
      <c r="B58" s="154">
        <v>1</v>
      </c>
      <c r="C58" s="277"/>
      <c r="D58" s="215" t="s">
        <v>56</v>
      </c>
      <c r="E58" s="157" t="s">
        <v>435</v>
      </c>
      <c r="F58" s="170" t="s">
        <v>436</v>
      </c>
      <c r="G58" s="211" t="s">
        <v>437</v>
      </c>
      <c r="H58" s="159" t="s">
        <v>433</v>
      </c>
      <c r="I58" s="160" t="s">
        <v>168</v>
      </c>
      <c r="J58" s="161">
        <v>37777</v>
      </c>
      <c r="K58" s="249" t="s">
        <v>438</v>
      </c>
      <c r="L58" s="223">
        <v>3</v>
      </c>
      <c r="M58" s="172" t="s">
        <v>163</v>
      </c>
      <c r="N58" s="207"/>
      <c r="O58" s="258"/>
      <c r="P58" s="259"/>
    </row>
    <row r="59" spans="1:19" ht="15.75" x14ac:dyDescent="0.25">
      <c r="B59" s="278">
        <v>1</v>
      </c>
      <c r="C59" s="277"/>
      <c r="D59" s="215" t="s">
        <v>439</v>
      </c>
      <c r="E59" s="279" t="s">
        <v>440</v>
      </c>
      <c r="F59" s="170" t="s">
        <v>441</v>
      </c>
      <c r="G59" s="211" t="s">
        <v>442</v>
      </c>
      <c r="H59" s="159"/>
      <c r="I59" s="160" t="s">
        <v>168</v>
      </c>
      <c r="J59" s="160">
        <v>4456</v>
      </c>
      <c r="K59" s="249" t="s">
        <v>443</v>
      </c>
      <c r="L59" s="280">
        <v>2</v>
      </c>
      <c r="M59" s="172" t="s">
        <v>163</v>
      </c>
      <c r="N59" s="207"/>
      <c r="O59" s="281"/>
      <c r="P59" s="282"/>
    </row>
    <row r="60" spans="1:19" ht="16.5" thickBot="1" x14ac:dyDescent="0.3">
      <c r="A60">
        <v>1</v>
      </c>
      <c r="B60" s="154">
        <v>0</v>
      </c>
      <c r="C60" s="277"/>
      <c r="D60" s="283" t="s">
        <v>444</v>
      </c>
      <c r="E60" s="284" t="s">
        <v>445</v>
      </c>
      <c r="F60" s="285" t="s">
        <v>436</v>
      </c>
      <c r="G60" s="286" t="s">
        <v>446</v>
      </c>
      <c r="H60" s="287" t="s">
        <v>433</v>
      </c>
      <c r="I60" s="288" t="s">
        <v>168</v>
      </c>
      <c r="J60" s="289">
        <v>37777</v>
      </c>
      <c r="K60" s="290" t="s">
        <v>438</v>
      </c>
      <c r="L60" s="223">
        <v>1</v>
      </c>
      <c r="M60" s="172" t="s">
        <v>447</v>
      </c>
      <c r="N60" s="207"/>
      <c r="O60" s="258"/>
      <c r="P60" s="259"/>
    </row>
    <row r="61" spans="1:19" ht="15.75" x14ac:dyDescent="0.25">
      <c r="B61" s="154">
        <v>1</v>
      </c>
      <c r="C61" s="273" t="s">
        <v>448</v>
      </c>
      <c r="D61" s="274" t="s">
        <v>449</v>
      </c>
      <c r="E61" s="236" t="s">
        <v>450</v>
      </c>
      <c r="F61" s="237" t="s">
        <v>451</v>
      </c>
      <c r="G61" s="238" t="s">
        <v>452</v>
      </c>
      <c r="H61" s="239" t="s">
        <v>453</v>
      </c>
      <c r="I61" s="240" t="s">
        <v>168</v>
      </c>
      <c r="J61" s="241">
        <v>37777</v>
      </c>
      <c r="K61" s="242" t="s">
        <v>454</v>
      </c>
      <c r="L61" s="243">
        <v>3</v>
      </c>
      <c r="M61" s="164" t="s">
        <v>455</v>
      </c>
      <c r="N61" s="212"/>
      <c r="O61" s="275"/>
      <c r="P61" s="276"/>
    </row>
    <row r="62" spans="1:19" ht="15.75" x14ac:dyDescent="0.25">
      <c r="B62" s="154">
        <v>1</v>
      </c>
      <c r="C62" s="277"/>
      <c r="D62" s="215" t="s">
        <v>456</v>
      </c>
      <c r="E62" s="157" t="s">
        <v>457</v>
      </c>
      <c r="F62" s="170" t="s">
        <v>458</v>
      </c>
      <c r="G62" s="211" t="s">
        <v>459</v>
      </c>
      <c r="H62" s="159" t="s">
        <v>460</v>
      </c>
      <c r="I62" s="160" t="s">
        <v>168</v>
      </c>
      <c r="J62" s="161">
        <v>37777</v>
      </c>
      <c r="K62" s="189" t="s">
        <v>461</v>
      </c>
      <c r="L62" s="223">
        <v>5</v>
      </c>
      <c r="M62" s="172" t="s">
        <v>163</v>
      </c>
      <c r="N62" s="207"/>
      <c r="O62" s="258"/>
      <c r="P62" s="259"/>
    </row>
    <row r="63" spans="1:19" ht="15.75" x14ac:dyDescent="0.25">
      <c r="B63" s="154">
        <v>1</v>
      </c>
      <c r="C63" s="277"/>
      <c r="D63" s="215" t="s">
        <v>58</v>
      </c>
      <c r="E63" s="157" t="s">
        <v>462</v>
      </c>
      <c r="F63" s="170" t="s">
        <v>463</v>
      </c>
      <c r="G63" s="211" t="s">
        <v>464</v>
      </c>
      <c r="H63" s="159"/>
      <c r="I63" s="160" t="s">
        <v>168</v>
      </c>
      <c r="J63" s="161">
        <v>37777</v>
      </c>
      <c r="K63" s="189" t="s">
        <v>465</v>
      </c>
      <c r="L63" s="223">
        <v>3</v>
      </c>
      <c r="M63" s="172" t="s">
        <v>315</v>
      </c>
      <c r="N63" s="207"/>
      <c r="O63" s="258"/>
      <c r="P63" s="259"/>
    </row>
    <row r="64" spans="1:19" ht="15.75" x14ac:dyDescent="0.25">
      <c r="B64" s="154">
        <v>0</v>
      </c>
      <c r="C64" s="277"/>
      <c r="D64" s="215"/>
      <c r="E64" s="157"/>
      <c r="F64" s="170"/>
      <c r="G64" s="211"/>
      <c r="H64" s="159"/>
      <c r="I64" s="160"/>
      <c r="J64" s="161"/>
      <c r="K64" s="189"/>
      <c r="L64" s="223"/>
      <c r="M64" s="224"/>
      <c r="N64" s="207"/>
      <c r="O64" s="198"/>
      <c r="P64" s="199"/>
    </row>
    <row r="65" spans="2:16" ht="15.75" x14ac:dyDescent="0.25">
      <c r="B65" s="154">
        <v>0</v>
      </c>
      <c r="C65" s="277"/>
      <c r="D65" s="250" t="s">
        <v>466</v>
      </c>
      <c r="E65" s="251" t="s">
        <v>467</v>
      </c>
      <c r="F65" s="252" t="s">
        <v>208</v>
      </c>
      <c r="G65" s="253" t="s">
        <v>468</v>
      </c>
      <c r="H65" s="254"/>
      <c r="I65" s="255"/>
      <c r="J65" s="256"/>
      <c r="K65" s="257"/>
      <c r="L65" s="223">
        <v>1</v>
      </c>
      <c r="M65" s="224" t="s">
        <v>277</v>
      </c>
      <c r="N65" s="207"/>
      <c r="O65" s="258"/>
      <c r="P65" s="259"/>
    </row>
    <row r="66" spans="2:16" ht="15.75" x14ac:dyDescent="0.25">
      <c r="B66" s="154">
        <v>1</v>
      </c>
      <c r="C66" s="277"/>
      <c r="D66" s="215" t="s">
        <v>469</v>
      </c>
      <c r="E66" s="157" t="s">
        <v>470</v>
      </c>
      <c r="F66" s="170" t="s">
        <v>471</v>
      </c>
      <c r="G66" s="211" t="s">
        <v>472</v>
      </c>
      <c r="H66" s="159"/>
      <c r="I66" s="160" t="s">
        <v>168</v>
      </c>
      <c r="J66" s="161">
        <v>37777</v>
      </c>
      <c r="K66" s="249" t="s">
        <v>473</v>
      </c>
      <c r="L66" s="223">
        <v>4</v>
      </c>
      <c r="M66" s="172" t="s">
        <v>315</v>
      </c>
      <c r="N66" s="207"/>
      <c r="O66" s="258"/>
      <c r="P66" s="259"/>
    </row>
    <row r="67" spans="2:16" ht="16.5" thickBot="1" x14ac:dyDescent="0.3">
      <c r="B67" s="291">
        <v>0</v>
      </c>
      <c r="C67" s="292"/>
      <c r="D67" s="293" t="s">
        <v>474</v>
      </c>
      <c r="E67" s="294" t="s">
        <v>475</v>
      </c>
      <c r="F67" s="295" t="s">
        <v>208</v>
      </c>
      <c r="G67" s="296" t="s">
        <v>476</v>
      </c>
      <c r="H67" s="297"/>
      <c r="I67" s="298"/>
      <c r="J67" s="299"/>
      <c r="K67" s="300"/>
      <c r="L67" s="301">
        <v>1</v>
      </c>
      <c r="M67" s="270" t="s">
        <v>277</v>
      </c>
      <c r="N67" s="197"/>
      <c r="O67" s="271"/>
      <c r="P67" s="272"/>
    </row>
    <row r="68" spans="2:16" ht="15.75" x14ac:dyDescent="0.25">
      <c r="B68" s="154">
        <v>1</v>
      </c>
      <c r="C68" s="273" t="s">
        <v>477</v>
      </c>
      <c r="D68" s="274" t="s">
        <v>62</v>
      </c>
      <c r="E68" s="236" t="s">
        <v>478</v>
      </c>
      <c r="F68" s="237"/>
      <c r="G68" s="238" t="s">
        <v>479</v>
      </c>
      <c r="H68" s="239"/>
      <c r="I68" s="240"/>
      <c r="J68" s="241">
        <v>4456</v>
      </c>
      <c r="K68" s="242" t="s">
        <v>480</v>
      </c>
      <c r="L68" s="243">
        <v>2</v>
      </c>
      <c r="M68" s="164" t="s">
        <v>481</v>
      </c>
      <c r="N68" s="212"/>
      <c r="O68" s="275"/>
      <c r="P68" s="276"/>
    </row>
    <row r="69" spans="2:16" ht="15.75" x14ac:dyDescent="0.25">
      <c r="B69" s="154"/>
      <c r="C69" s="277"/>
      <c r="D69" s="215" t="s">
        <v>482</v>
      </c>
      <c r="E69" s="157" t="s">
        <v>483</v>
      </c>
      <c r="F69" s="170"/>
      <c r="G69" s="211" t="s">
        <v>484</v>
      </c>
      <c r="H69" s="159"/>
      <c r="I69" s="160" t="s">
        <v>168</v>
      </c>
      <c r="J69" s="161">
        <v>4456</v>
      </c>
      <c r="K69" s="189" t="s">
        <v>485</v>
      </c>
      <c r="L69" s="223">
        <v>2</v>
      </c>
      <c r="M69" s="302"/>
      <c r="N69" s="207"/>
      <c r="O69" s="258"/>
      <c r="P69" s="259"/>
    </row>
    <row r="70" spans="2:16" ht="15.75" x14ac:dyDescent="0.25">
      <c r="B70" s="154"/>
      <c r="C70" s="277"/>
      <c r="D70" s="215"/>
      <c r="E70" s="157"/>
      <c r="F70" s="170"/>
      <c r="G70" s="211"/>
      <c r="H70" s="159"/>
      <c r="I70" s="160"/>
      <c r="J70" s="161"/>
      <c r="K70" s="189"/>
      <c r="L70" s="223"/>
      <c r="M70" s="302"/>
      <c r="N70" s="207"/>
      <c r="O70" s="258"/>
      <c r="P70" s="259"/>
    </row>
    <row r="71" spans="2:16" ht="15.75" x14ac:dyDescent="0.25">
      <c r="B71" s="154"/>
      <c r="C71" s="277"/>
      <c r="D71" s="215"/>
      <c r="E71" s="157"/>
      <c r="F71" s="303"/>
      <c r="G71" s="159"/>
      <c r="H71" s="159"/>
      <c r="I71" s="159"/>
      <c r="J71" s="159"/>
      <c r="K71" s="159"/>
      <c r="L71" s="223"/>
      <c r="M71" s="224"/>
      <c r="N71" s="207"/>
      <c r="O71" s="198"/>
      <c r="P71" s="199"/>
    </row>
    <row r="72" spans="2:16" ht="15.75" x14ac:dyDescent="0.25">
      <c r="B72" s="154"/>
      <c r="C72" s="277"/>
      <c r="D72" s="215"/>
      <c r="E72" s="157"/>
      <c r="F72" s="303"/>
      <c r="G72" s="159"/>
      <c r="H72" s="159"/>
      <c r="I72" s="159"/>
      <c r="J72" s="159"/>
      <c r="K72" s="159"/>
      <c r="L72" s="223"/>
      <c r="M72" s="224"/>
      <c r="N72" s="207"/>
      <c r="O72" s="258"/>
      <c r="P72" s="259"/>
    </row>
    <row r="73" spans="2:16" ht="15.75" x14ac:dyDescent="0.25">
      <c r="B73" s="154"/>
      <c r="C73" s="277"/>
      <c r="D73" s="215"/>
      <c r="E73" s="157"/>
      <c r="F73" s="170"/>
      <c r="G73" s="211"/>
      <c r="H73" s="159"/>
      <c r="I73" s="160"/>
      <c r="J73" s="161"/>
      <c r="K73" s="249"/>
      <c r="L73" s="223"/>
      <c r="M73" s="302"/>
      <c r="N73" s="207"/>
      <c r="O73" s="258"/>
      <c r="P73" s="259"/>
    </row>
    <row r="74" spans="2:16" ht="16.5" thickBot="1" x14ac:dyDescent="0.3">
      <c r="B74" s="291"/>
      <c r="C74" s="292"/>
      <c r="D74" s="215"/>
      <c r="E74" s="157"/>
      <c r="F74" s="170"/>
      <c r="G74" s="159"/>
      <c r="H74" s="159"/>
      <c r="I74" s="159"/>
      <c r="J74" s="159"/>
      <c r="K74" s="159"/>
      <c r="L74" s="301"/>
      <c r="M74" s="270"/>
      <c r="N74" s="197"/>
      <c r="O74" s="271"/>
      <c r="P74" s="272"/>
    </row>
    <row r="75" spans="2:16" ht="15.75" thickBot="1" x14ac:dyDescent="0.3">
      <c r="B75" s="121"/>
      <c r="E75" s="122"/>
      <c r="G75" s="123"/>
      <c r="H75" s="123"/>
      <c r="I75" s="124"/>
      <c r="J75" s="121"/>
      <c r="L75" s="121"/>
      <c r="P75" s="125"/>
    </row>
    <row r="76" spans="2:16" ht="16.5" thickBot="1" x14ac:dyDescent="0.3">
      <c r="B76" s="304"/>
      <c r="C76" s="305" t="s">
        <v>486</v>
      </c>
      <c r="D76" s="134" t="s">
        <v>487</v>
      </c>
      <c r="E76" s="145" t="s">
        <v>144</v>
      </c>
      <c r="F76" s="146" t="s">
        <v>145</v>
      </c>
      <c r="G76" s="147"/>
      <c r="H76" s="147"/>
      <c r="I76" s="147"/>
      <c r="J76" s="148"/>
      <c r="K76" s="149"/>
      <c r="L76" s="150"/>
      <c r="M76" s="151" t="s">
        <v>146</v>
      </c>
      <c r="N76" s="152" t="s">
        <v>147</v>
      </c>
      <c r="O76" s="152" t="s">
        <v>148</v>
      </c>
      <c r="P76" s="153"/>
    </row>
    <row r="77" spans="2:16" ht="15.75" x14ac:dyDescent="0.25">
      <c r="B77" s="154">
        <v>1</v>
      </c>
      <c r="C77" s="306"/>
      <c r="D77" s="307" t="s">
        <v>65</v>
      </c>
      <c r="E77" s="236" t="s">
        <v>488</v>
      </c>
      <c r="F77" s="237"/>
      <c r="G77" s="239" t="s">
        <v>489</v>
      </c>
      <c r="H77" s="239" t="s">
        <v>490</v>
      </c>
      <c r="I77" s="240"/>
      <c r="J77" s="241"/>
      <c r="K77" s="308"/>
      <c r="L77" s="163">
        <v>9</v>
      </c>
      <c r="M77" s="224" t="s">
        <v>491</v>
      </c>
      <c r="N77" s="191" t="s">
        <v>170</v>
      </c>
      <c r="O77" s="309"/>
      <c r="P77" s="310" t="s">
        <v>157</v>
      </c>
    </row>
    <row r="78" spans="2:16" ht="16.5" thickBot="1" x14ac:dyDescent="0.3">
      <c r="B78" s="154">
        <v>1</v>
      </c>
      <c r="C78" s="311"/>
      <c r="D78" s="312" t="s">
        <v>492</v>
      </c>
      <c r="E78" s="157" t="s">
        <v>493</v>
      </c>
      <c r="F78" s="170" t="s">
        <v>494</v>
      </c>
      <c r="G78" s="159" t="s">
        <v>495</v>
      </c>
      <c r="H78" s="159" t="s">
        <v>496</v>
      </c>
      <c r="I78" s="160"/>
      <c r="J78" s="161">
        <v>4456</v>
      </c>
      <c r="K78" s="162" t="s">
        <v>497</v>
      </c>
      <c r="L78" s="171">
        <v>3</v>
      </c>
      <c r="M78" s="172" t="s">
        <v>355</v>
      </c>
      <c r="N78" s="247" t="s">
        <v>285</v>
      </c>
      <c r="O78" s="281"/>
      <c r="P78" s="220" t="s">
        <v>229</v>
      </c>
    </row>
    <row r="79" spans="2:16" ht="16.5" thickBot="1" x14ac:dyDescent="0.3">
      <c r="B79" s="304"/>
      <c r="C79" s="313"/>
      <c r="D79" s="134" t="s">
        <v>498</v>
      </c>
      <c r="E79" s="145" t="s">
        <v>144</v>
      </c>
      <c r="F79" s="146" t="s">
        <v>145</v>
      </c>
      <c r="G79" s="147"/>
      <c r="H79" s="147"/>
      <c r="I79" s="147"/>
      <c r="J79" s="148"/>
      <c r="K79" s="149"/>
      <c r="L79" s="150"/>
      <c r="M79" s="151" t="s">
        <v>146</v>
      </c>
      <c r="N79" s="152" t="s">
        <v>147</v>
      </c>
      <c r="O79" s="152" t="s">
        <v>148</v>
      </c>
      <c r="P79" s="153"/>
    </row>
    <row r="80" spans="2:16" ht="15.75" x14ac:dyDescent="0.25">
      <c r="B80" s="154">
        <v>1</v>
      </c>
      <c r="C80" s="314" t="s">
        <v>499</v>
      </c>
      <c r="D80" s="307" t="s">
        <v>68</v>
      </c>
      <c r="E80" s="236" t="s">
        <v>500</v>
      </c>
      <c r="F80" s="237"/>
      <c r="G80" s="239"/>
      <c r="H80" s="239" t="s">
        <v>501</v>
      </c>
      <c r="I80" s="240"/>
      <c r="J80" s="241"/>
      <c r="K80" s="308"/>
      <c r="L80" s="163">
        <v>8</v>
      </c>
      <c r="M80" s="224" t="s">
        <v>502</v>
      </c>
      <c r="N80" s="191" t="s">
        <v>170</v>
      </c>
      <c r="O80" s="315" t="s">
        <v>171</v>
      </c>
      <c r="P80" s="310" t="s">
        <v>157</v>
      </c>
    </row>
    <row r="81" spans="1:16" ht="15.75" x14ac:dyDescent="0.25">
      <c r="B81" s="154">
        <v>1</v>
      </c>
      <c r="C81" s="314"/>
      <c r="D81" s="312" t="s">
        <v>503</v>
      </c>
      <c r="E81" s="157" t="s">
        <v>504</v>
      </c>
      <c r="F81" s="170"/>
      <c r="G81" s="159" t="s">
        <v>505</v>
      </c>
      <c r="H81" s="159"/>
      <c r="I81" s="160"/>
      <c r="J81" s="161"/>
      <c r="K81" s="162"/>
      <c r="L81" s="171">
        <v>3</v>
      </c>
      <c r="M81" s="172" t="s">
        <v>315</v>
      </c>
      <c r="N81" s="207"/>
      <c r="O81" s="315" t="s">
        <v>171</v>
      </c>
      <c r="P81" s="316"/>
    </row>
    <row r="82" spans="1:16" ht="15.75" x14ac:dyDescent="0.25">
      <c r="A82">
        <v>1</v>
      </c>
      <c r="B82" s="154"/>
      <c r="C82" s="314"/>
      <c r="D82" s="250" t="s">
        <v>506</v>
      </c>
      <c r="E82" s="251" t="s">
        <v>507</v>
      </c>
      <c r="F82" s="252"/>
      <c r="G82" s="253" t="s">
        <v>508</v>
      </c>
      <c r="H82" s="254"/>
      <c r="I82" s="255"/>
      <c r="J82" s="256"/>
      <c r="K82" s="257"/>
      <c r="L82" s="171">
        <v>1</v>
      </c>
      <c r="M82" s="224" t="s">
        <v>277</v>
      </c>
      <c r="N82" s="207"/>
      <c r="O82" s="281"/>
      <c r="P82" s="282"/>
    </row>
    <row r="83" spans="1:16" ht="15.75" x14ac:dyDescent="0.25">
      <c r="A83">
        <v>1</v>
      </c>
      <c r="B83" s="154"/>
      <c r="C83" s="314"/>
      <c r="D83" s="317" t="s">
        <v>509</v>
      </c>
      <c r="E83" s="251"/>
      <c r="F83" s="252"/>
      <c r="G83" s="254" t="s">
        <v>510</v>
      </c>
      <c r="H83" s="254"/>
      <c r="I83" s="255"/>
      <c r="J83" s="256">
        <v>37777</v>
      </c>
      <c r="K83" s="318"/>
      <c r="L83" s="171">
        <v>1</v>
      </c>
      <c r="M83" s="172" t="s">
        <v>511</v>
      </c>
      <c r="N83" s="207"/>
      <c r="O83" s="281"/>
      <c r="P83" s="282"/>
    </row>
    <row r="84" spans="1:16" ht="16.5" thickBot="1" x14ac:dyDescent="0.3">
      <c r="B84" s="291">
        <v>1</v>
      </c>
      <c r="C84" s="319"/>
      <c r="D84" s="320" t="s">
        <v>512</v>
      </c>
      <c r="E84" s="178" t="s">
        <v>513</v>
      </c>
      <c r="F84" s="179"/>
      <c r="G84" s="180" t="s">
        <v>514</v>
      </c>
      <c r="H84" s="180"/>
      <c r="I84" s="181"/>
      <c r="J84" s="182"/>
      <c r="K84" s="183"/>
      <c r="L84" s="301">
        <v>2</v>
      </c>
      <c r="M84" s="185" t="s">
        <v>315</v>
      </c>
      <c r="N84" s="230" t="s">
        <v>285</v>
      </c>
      <c r="O84" s="281"/>
      <c r="P84" s="220" t="s">
        <v>229</v>
      </c>
    </row>
    <row r="85" spans="1:16" ht="16.5" thickBot="1" x14ac:dyDescent="0.3">
      <c r="B85" s="321"/>
      <c r="C85" s="322"/>
      <c r="D85" s="136" t="s">
        <v>515</v>
      </c>
      <c r="E85" s="145" t="s">
        <v>144</v>
      </c>
      <c r="F85" s="146" t="s">
        <v>145</v>
      </c>
      <c r="G85" s="147"/>
      <c r="H85" s="147"/>
      <c r="I85" s="147"/>
      <c r="J85" s="148"/>
      <c r="K85" s="149"/>
      <c r="L85" s="150"/>
      <c r="M85" s="151" t="s">
        <v>146</v>
      </c>
      <c r="N85" s="152" t="s">
        <v>147</v>
      </c>
      <c r="O85" s="152" t="s">
        <v>148</v>
      </c>
      <c r="P85" s="153"/>
    </row>
    <row r="86" spans="1:16" ht="15.75" x14ac:dyDescent="0.25">
      <c r="B86" s="323">
        <v>1</v>
      </c>
      <c r="C86" s="324" t="s">
        <v>516</v>
      </c>
      <c r="D86" s="325" t="s">
        <v>517</v>
      </c>
      <c r="E86" s="236" t="s">
        <v>518</v>
      </c>
      <c r="F86" s="237"/>
      <c r="G86" s="238" t="s">
        <v>519</v>
      </c>
      <c r="H86" s="239" t="s">
        <v>520</v>
      </c>
      <c r="I86" s="240"/>
      <c r="J86" s="241"/>
      <c r="K86" s="242"/>
      <c r="L86" s="326">
        <v>17</v>
      </c>
      <c r="M86" s="224" t="s">
        <v>521</v>
      </c>
      <c r="N86" s="191" t="s">
        <v>170</v>
      </c>
      <c r="O86" s="281"/>
      <c r="P86" s="310" t="s">
        <v>157</v>
      </c>
    </row>
    <row r="87" spans="1:16" ht="15.75" x14ac:dyDescent="0.25">
      <c r="B87" s="323">
        <v>1</v>
      </c>
      <c r="C87" s="324"/>
      <c r="D87" s="327" t="s">
        <v>522</v>
      </c>
      <c r="E87" s="157" t="s">
        <v>523</v>
      </c>
      <c r="F87" s="170"/>
      <c r="G87" s="211" t="s">
        <v>524</v>
      </c>
      <c r="H87" s="159" t="s">
        <v>525</v>
      </c>
      <c r="I87" s="160"/>
      <c r="J87" s="161"/>
      <c r="K87" s="189"/>
      <c r="L87" s="326">
        <v>5</v>
      </c>
      <c r="M87" s="172" t="s">
        <v>315</v>
      </c>
      <c r="N87" s="207"/>
      <c r="O87" s="315" t="s">
        <v>171</v>
      </c>
      <c r="P87" s="316"/>
    </row>
    <row r="88" spans="1:16" ht="15.75" x14ac:dyDescent="0.25">
      <c r="B88" s="323">
        <v>1</v>
      </c>
      <c r="C88" s="324"/>
      <c r="D88" s="327" t="s">
        <v>526</v>
      </c>
      <c r="E88" s="157" t="s">
        <v>527</v>
      </c>
      <c r="F88" s="170"/>
      <c r="G88" s="211" t="s">
        <v>528</v>
      </c>
      <c r="H88" s="159"/>
      <c r="I88" s="160"/>
      <c r="J88" s="161"/>
      <c r="K88" s="189"/>
      <c r="L88" s="326">
        <v>3</v>
      </c>
      <c r="M88" s="224" t="s">
        <v>529</v>
      </c>
      <c r="N88" s="207"/>
      <c r="O88" s="315" t="s">
        <v>171</v>
      </c>
      <c r="P88" s="316"/>
    </row>
    <row r="89" spans="1:16" ht="15.75" x14ac:dyDescent="0.25">
      <c r="B89" s="323">
        <v>1</v>
      </c>
      <c r="C89" s="324"/>
      <c r="D89" s="327" t="s">
        <v>530</v>
      </c>
      <c r="E89" s="157" t="s">
        <v>531</v>
      </c>
      <c r="F89" s="170"/>
      <c r="G89" s="211" t="s">
        <v>532</v>
      </c>
      <c r="H89" s="159"/>
      <c r="I89" s="160"/>
      <c r="J89" s="161"/>
      <c r="K89" s="189"/>
      <c r="L89" s="326">
        <v>8</v>
      </c>
      <c r="M89" s="172" t="s">
        <v>315</v>
      </c>
      <c r="N89" s="207"/>
      <c r="O89" s="315" t="s">
        <v>171</v>
      </c>
      <c r="P89" s="316"/>
    </row>
    <row r="90" spans="1:16" ht="15.75" x14ac:dyDescent="0.25">
      <c r="B90" s="323">
        <v>1</v>
      </c>
      <c r="C90" s="324"/>
      <c r="D90" s="327" t="s">
        <v>533</v>
      </c>
      <c r="E90" s="157" t="s">
        <v>534</v>
      </c>
      <c r="F90" s="170" t="s">
        <v>535</v>
      </c>
      <c r="G90" s="211" t="s">
        <v>536</v>
      </c>
      <c r="H90" s="159"/>
      <c r="I90" s="160"/>
      <c r="J90" s="161"/>
      <c r="K90" s="189" t="s">
        <v>537</v>
      </c>
      <c r="L90" s="326">
        <v>4</v>
      </c>
      <c r="M90" s="224"/>
      <c r="N90" s="207"/>
      <c r="O90" s="281"/>
      <c r="P90" s="316" t="s">
        <v>153</v>
      </c>
    </row>
    <row r="91" spans="1:16" ht="15.75" x14ac:dyDescent="0.25">
      <c r="B91" s="323">
        <v>1</v>
      </c>
      <c r="C91" s="324"/>
      <c r="D91" s="327" t="s">
        <v>538</v>
      </c>
      <c r="E91" s="157" t="s">
        <v>539</v>
      </c>
      <c r="F91" s="170" t="s">
        <v>540</v>
      </c>
      <c r="G91" s="211" t="s">
        <v>541</v>
      </c>
      <c r="H91" s="159"/>
      <c r="I91" s="160"/>
      <c r="J91" s="161"/>
      <c r="K91" s="189" t="s">
        <v>542</v>
      </c>
      <c r="L91" s="326">
        <v>3</v>
      </c>
      <c r="M91" s="172" t="s">
        <v>286</v>
      </c>
      <c r="N91" s="207"/>
      <c r="O91" s="281"/>
      <c r="P91" s="316" t="s">
        <v>153</v>
      </c>
    </row>
    <row r="92" spans="1:16" ht="16.5" thickBot="1" x14ac:dyDescent="0.3">
      <c r="A92">
        <v>1</v>
      </c>
      <c r="B92" s="323"/>
      <c r="C92" s="328"/>
      <c r="D92" s="320" t="s">
        <v>543</v>
      </c>
      <c r="E92" s="178" t="s">
        <v>544</v>
      </c>
      <c r="F92" s="179"/>
      <c r="G92" s="227"/>
      <c r="H92" s="180"/>
      <c r="I92" s="181"/>
      <c r="J92" s="182"/>
      <c r="K92" s="228"/>
      <c r="L92" s="329">
        <v>1</v>
      </c>
      <c r="M92" s="185" t="s">
        <v>545</v>
      </c>
      <c r="N92" s="197"/>
      <c r="O92" s="315"/>
      <c r="P92" s="316" t="s">
        <v>153</v>
      </c>
    </row>
    <row r="93" spans="1:16" ht="16.5" thickBot="1" x14ac:dyDescent="0.3">
      <c r="B93" s="304"/>
      <c r="C93" s="330"/>
      <c r="D93" s="134" t="s">
        <v>546</v>
      </c>
      <c r="E93" s="145" t="s">
        <v>144</v>
      </c>
      <c r="F93" s="146" t="s">
        <v>145</v>
      </c>
      <c r="G93" s="147"/>
      <c r="H93" s="147"/>
      <c r="I93" s="147"/>
      <c r="J93" s="148"/>
      <c r="K93" s="149"/>
      <c r="L93" s="150"/>
      <c r="M93" s="151" t="s">
        <v>146</v>
      </c>
      <c r="N93" s="152" t="s">
        <v>147</v>
      </c>
      <c r="O93" s="152" t="s">
        <v>148</v>
      </c>
      <c r="P93" s="153"/>
    </row>
    <row r="94" spans="1:16" ht="15.75" x14ac:dyDescent="0.25">
      <c r="B94" s="154">
        <v>2</v>
      </c>
      <c r="C94" s="331" t="s">
        <v>547</v>
      </c>
      <c r="D94" s="307" t="s">
        <v>548</v>
      </c>
      <c r="E94" s="236" t="s">
        <v>549</v>
      </c>
      <c r="F94" s="237"/>
      <c r="G94" s="238"/>
      <c r="H94" s="239" t="s">
        <v>550</v>
      </c>
      <c r="I94" s="240"/>
      <c r="J94" s="241"/>
      <c r="K94" s="242"/>
      <c r="L94" s="326">
        <v>14</v>
      </c>
      <c r="M94" s="224" t="s">
        <v>551</v>
      </c>
      <c r="N94" s="191" t="s">
        <v>170</v>
      </c>
      <c r="O94" s="315" t="s">
        <v>171</v>
      </c>
      <c r="P94" s="310" t="s">
        <v>157</v>
      </c>
    </row>
    <row r="95" spans="1:16" ht="15.75" x14ac:dyDescent="0.25">
      <c r="B95" s="154">
        <v>1</v>
      </c>
      <c r="C95" s="324"/>
      <c r="D95" s="194" t="s">
        <v>552</v>
      </c>
      <c r="E95" s="157" t="s">
        <v>553</v>
      </c>
      <c r="F95" s="170" t="s">
        <v>554</v>
      </c>
      <c r="G95" s="211" t="s">
        <v>555</v>
      </c>
      <c r="H95" s="159" t="s">
        <v>556</v>
      </c>
      <c r="I95" s="160" t="s">
        <v>168</v>
      </c>
      <c r="J95" s="161">
        <v>37777</v>
      </c>
      <c r="K95" s="189" t="s">
        <v>557</v>
      </c>
      <c r="L95" s="326">
        <v>3</v>
      </c>
      <c r="M95" s="172" t="s">
        <v>455</v>
      </c>
      <c r="N95" s="207"/>
      <c r="O95" s="315" t="s">
        <v>171</v>
      </c>
      <c r="P95" s="316" t="s">
        <v>153</v>
      </c>
    </row>
    <row r="96" spans="1:16" ht="15.75" x14ac:dyDescent="0.25">
      <c r="B96" s="154"/>
      <c r="C96" s="324"/>
      <c r="D96" s="332" t="s">
        <v>558</v>
      </c>
      <c r="E96" s="157" t="s">
        <v>559</v>
      </c>
      <c r="F96" s="170" t="s">
        <v>560</v>
      </c>
      <c r="G96" s="211" t="s">
        <v>561</v>
      </c>
      <c r="H96" s="159" t="s">
        <v>562</v>
      </c>
      <c r="I96" s="160" t="s">
        <v>168</v>
      </c>
      <c r="J96" s="161">
        <v>37777</v>
      </c>
      <c r="K96" s="189" t="s">
        <v>563</v>
      </c>
      <c r="L96" s="326">
        <v>0</v>
      </c>
      <c r="M96" s="302"/>
      <c r="N96" s="207"/>
      <c r="O96" s="281"/>
      <c r="P96" s="282"/>
    </row>
    <row r="97" spans="2:17" ht="15.75" x14ac:dyDescent="0.25">
      <c r="B97" s="154">
        <v>1</v>
      </c>
      <c r="C97" s="324"/>
      <c r="D97" s="194" t="s">
        <v>564</v>
      </c>
      <c r="E97" s="157" t="s">
        <v>565</v>
      </c>
      <c r="F97" s="170" t="s">
        <v>566</v>
      </c>
      <c r="G97" s="211" t="s">
        <v>567</v>
      </c>
      <c r="H97" s="159"/>
      <c r="I97" s="160" t="s">
        <v>168</v>
      </c>
      <c r="J97" s="161">
        <v>37777</v>
      </c>
      <c r="K97" s="189" t="s">
        <v>568</v>
      </c>
      <c r="L97" s="326">
        <v>2</v>
      </c>
      <c r="M97" s="172" t="s">
        <v>286</v>
      </c>
      <c r="N97" s="207"/>
      <c r="O97" s="315"/>
      <c r="P97" s="316"/>
    </row>
    <row r="98" spans="2:17" ht="15.75" x14ac:dyDescent="0.25">
      <c r="B98" s="154">
        <v>1</v>
      </c>
      <c r="C98" s="324"/>
      <c r="D98" s="194" t="s">
        <v>569</v>
      </c>
      <c r="E98" s="157" t="s">
        <v>570</v>
      </c>
      <c r="F98" s="170"/>
      <c r="G98" s="211" t="s">
        <v>571</v>
      </c>
      <c r="H98" s="159" t="s">
        <v>572</v>
      </c>
      <c r="I98" s="160"/>
      <c r="J98" s="161"/>
      <c r="K98" s="189"/>
      <c r="L98" s="326">
        <v>2</v>
      </c>
      <c r="M98" s="172" t="s">
        <v>355</v>
      </c>
      <c r="N98" s="207"/>
      <c r="O98" s="315" t="s">
        <v>171</v>
      </c>
      <c r="P98" s="316" t="s">
        <v>153</v>
      </c>
    </row>
    <row r="99" spans="2:17" ht="15.75" x14ac:dyDescent="0.25">
      <c r="B99" s="154">
        <v>1</v>
      </c>
      <c r="C99" s="324"/>
      <c r="D99" s="194" t="s">
        <v>573</v>
      </c>
      <c r="E99" s="157" t="s">
        <v>574</v>
      </c>
      <c r="F99" s="170"/>
      <c r="G99" s="211"/>
      <c r="H99" s="159"/>
      <c r="I99" s="160"/>
      <c r="J99" s="161"/>
      <c r="K99" s="189"/>
      <c r="L99" s="326">
        <v>2</v>
      </c>
      <c r="M99" s="172" t="s">
        <v>455</v>
      </c>
      <c r="N99" s="207"/>
      <c r="O99" s="315"/>
      <c r="P99" s="220" t="s">
        <v>229</v>
      </c>
    </row>
    <row r="100" spans="2:17" ht="15.75" x14ac:dyDescent="0.25">
      <c r="B100" s="154">
        <v>1</v>
      </c>
      <c r="C100" s="324"/>
      <c r="D100" s="194" t="s">
        <v>84</v>
      </c>
      <c r="E100" s="157" t="s">
        <v>575</v>
      </c>
      <c r="F100" s="170"/>
      <c r="G100" s="211" t="s">
        <v>576</v>
      </c>
      <c r="H100" s="159"/>
      <c r="I100" s="160"/>
      <c r="J100" s="161"/>
      <c r="K100" s="189"/>
      <c r="L100" s="326">
        <v>2</v>
      </c>
      <c r="M100" s="172" t="s">
        <v>315</v>
      </c>
      <c r="N100" s="207"/>
      <c r="O100" s="315" t="s">
        <v>171</v>
      </c>
      <c r="P100" s="220" t="s">
        <v>229</v>
      </c>
    </row>
    <row r="101" spans="2:17" ht="16.5" thickBot="1" x14ac:dyDescent="0.3">
      <c r="B101" s="291">
        <v>1</v>
      </c>
      <c r="C101" s="328"/>
      <c r="D101" s="320" t="s">
        <v>577</v>
      </c>
      <c r="E101" s="178" t="s">
        <v>578</v>
      </c>
      <c r="F101" s="179"/>
      <c r="G101" s="227" t="s">
        <v>579</v>
      </c>
      <c r="H101" s="180"/>
      <c r="I101" s="181"/>
      <c r="J101" s="182"/>
      <c r="K101" s="228"/>
      <c r="L101" s="329">
        <v>2</v>
      </c>
      <c r="M101" s="185" t="s">
        <v>315</v>
      </c>
      <c r="N101" s="197"/>
      <c r="O101" s="315" t="s">
        <v>171</v>
      </c>
      <c r="P101" s="316" t="s">
        <v>153</v>
      </c>
    </row>
    <row r="102" spans="2:17" ht="16.5" thickBot="1" x14ac:dyDescent="0.3">
      <c r="B102" s="304"/>
      <c r="C102" s="333" t="s">
        <v>580</v>
      </c>
      <c r="D102" s="134" t="s">
        <v>581</v>
      </c>
      <c r="E102" s="145" t="s">
        <v>144</v>
      </c>
      <c r="F102" s="146" t="s">
        <v>145</v>
      </c>
      <c r="G102" s="147"/>
      <c r="H102" s="147"/>
      <c r="I102" s="147"/>
      <c r="J102" s="148"/>
      <c r="K102" s="149"/>
      <c r="L102" s="150"/>
      <c r="M102" s="151" t="s">
        <v>146</v>
      </c>
      <c r="N102" s="152" t="s">
        <v>147</v>
      </c>
      <c r="O102" s="152" t="s">
        <v>148</v>
      </c>
      <c r="P102" s="153"/>
    </row>
    <row r="103" spans="2:17" ht="15.75" x14ac:dyDescent="0.25">
      <c r="B103" s="154">
        <v>1</v>
      </c>
      <c r="C103" s="168"/>
      <c r="D103" s="307" t="s">
        <v>87</v>
      </c>
      <c r="E103" s="236" t="s">
        <v>582</v>
      </c>
      <c r="F103" s="237"/>
      <c r="G103" s="239" t="s">
        <v>583</v>
      </c>
      <c r="H103" s="239" t="s">
        <v>584</v>
      </c>
      <c r="I103" s="240"/>
      <c r="J103" s="241"/>
      <c r="K103" s="308"/>
      <c r="L103" s="163">
        <v>9</v>
      </c>
      <c r="M103" s="224" t="s">
        <v>551</v>
      </c>
      <c r="N103" s="191" t="s">
        <v>170</v>
      </c>
      <c r="O103" s="281"/>
      <c r="P103" s="310" t="s">
        <v>157</v>
      </c>
    </row>
    <row r="104" spans="2:17" ht="15.75" x14ac:dyDescent="0.25">
      <c r="B104" s="154">
        <v>1</v>
      </c>
      <c r="C104" s="168"/>
      <c r="D104" s="194" t="s">
        <v>585</v>
      </c>
      <c r="E104" s="157" t="s">
        <v>586</v>
      </c>
      <c r="F104" s="170" t="s">
        <v>587</v>
      </c>
      <c r="G104" s="159" t="s">
        <v>588</v>
      </c>
      <c r="H104" s="159" t="s">
        <v>589</v>
      </c>
      <c r="I104" s="160" t="s">
        <v>168</v>
      </c>
      <c r="J104" s="161">
        <v>37777</v>
      </c>
      <c r="K104" s="162" t="s">
        <v>426</v>
      </c>
      <c r="L104" s="171">
        <v>3</v>
      </c>
      <c r="M104" s="172" t="s">
        <v>315</v>
      </c>
      <c r="N104" s="207"/>
      <c r="O104" s="281"/>
      <c r="P104" s="282"/>
    </row>
    <row r="105" spans="2:17" ht="16.5" thickBot="1" x14ac:dyDescent="0.3">
      <c r="B105" s="291">
        <v>1</v>
      </c>
      <c r="C105" s="176"/>
      <c r="D105" s="320" t="s">
        <v>590</v>
      </c>
      <c r="E105" s="178" t="s">
        <v>591</v>
      </c>
      <c r="F105" s="179"/>
      <c r="G105" s="180" t="s">
        <v>592</v>
      </c>
      <c r="H105" s="180" t="s">
        <v>593</v>
      </c>
      <c r="I105" s="181"/>
      <c r="J105" s="182"/>
      <c r="K105" s="183"/>
      <c r="L105" s="184">
        <v>3</v>
      </c>
      <c r="M105" s="185" t="s">
        <v>315</v>
      </c>
      <c r="N105" s="197"/>
      <c r="O105" s="281"/>
      <c r="P105" s="282"/>
    </row>
    <row r="106" spans="2:17" ht="15.75" x14ac:dyDescent="0.25">
      <c r="B106" s="304">
        <v>1</v>
      </c>
      <c r="C106" s="334" t="s">
        <v>594</v>
      </c>
      <c r="D106" s="307" t="s">
        <v>595</v>
      </c>
      <c r="E106" s="236" t="s">
        <v>596</v>
      </c>
      <c r="F106" s="237" t="s">
        <v>597</v>
      </c>
      <c r="G106" s="239" t="s">
        <v>598</v>
      </c>
      <c r="H106" s="239" t="s">
        <v>599</v>
      </c>
      <c r="I106" s="240" t="s">
        <v>168</v>
      </c>
      <c r="J106" s="241" t="s">
        <v>168</v>
      </c>
      <c r="K106" s="308" t="s">
        <v>600</v>
      </c>
      <c r="L106" s="163">
        <v>6</v>
      </c>
      <c r="M106" s="164" t="s">
        <v>315</v>
      </c>
      <c r="N106" s="191" t="s">
        <v>170</v>
      </c>
      <c r="O106" s="309"/>
      <c r="P106" s="335" t="s">
        <v>157</v>
      </c>
    </row>
    <row r="107" spans="2:17" ht="16.5" thickBot="1" x14ac:dyDescent="0.3">
      <c r="B107" s="154">
        <v>1</v>
      </c>
      <c r="C107" s="336"/>
      <c r="D107" s="320" t="s">
        <v>88</v>
      </c>
      <c r="E107" s="337" t="s">
        <v>601</v>
      </c>
      <c r="F107" s="338" t="s">
        <v>602</v>
      </c>
      <c r="G107" s="180" t="s">
        <v>603</v>
      </c>
      <c r="H107" s="180"/>
      <c r="I107" s="181" t="s">
        <v>208</v>
      </c>
      <c r="J107" s="182">
        <v>37777</v>
      </c>
      <c r="K107" s="339" t="s">
        <v>604</v>
      </c>
      <c r="L107" s="184">
        <v>4</v>
      </c>
      <c r="M107" s="172" t="s">
        <v>315</v>
      </c>
      <c r="N107" s="191" t="s">
        <v>170</v>
      </c>
      <c r="O107" s="340"/>
      <c r="P107" s="341" t="s">
        <v>157</v>
      </c>
    </row>
    <row r="108" spans="2:17" ht="15.75" x14ac:dyDescent="0.25">
      <c r="B108" s="304">
        <v>1</v>
      </c>
      <c r="C108" s="333" t="s">
        <v>605</v>
      </c>
      <c r="D108" s="194" t="s">
        <v>606</v>
      </c>
      <c r="E108" s="157" t="s">
        <v>607</v>
      </c>
      <c r="F108" s="170"/>
      <c r="G108" s="211" t="s">
        <v>608</v>
      </c>
      <c r="H108" s="159" t="s">
        <v>609</v>
      </c>
      <c r="I108" s="160"/>
      <c r="J108" s="161"/>
      <c r="K108" s="189"/>
      <c r="L108" s="326">
        <v>4</v>
      </c>
      <c r="M108" s="164" t="s">
        <v>315</v>
      </c>
      <c r="N108" s="212"/>
      <c r="O108" s="281"/>
      <c r="P108" s="282"/>
    </row>
    <row r="109" spans="2:17" ht="15.75" x14ac:dyDescent="0.25">
      <c r="B109" s="154">
        <v>1</v>
      </c>
      <c r="C109" s="168"/>
      <c r="D109" s="194" t="s">
        <v>90</v>
      </c>
      <c r="E109" s="157" t="s">
        <v>610</v>
      </c>
      <c r="F109" s="170" t="s">
        <v>611</v>
      </c>
      <c r="G109" s="211" t="s">
        <v>519</v>
      </c>
      <c r="H109" s="159" t="s">
        <v>612</v>
      </c>
      <c r="I109" s="160" t="s">
        <v>168</v>
      </c>
      <c r="J109" s="161">
        <v>37777</v>
      </c>
      <c r="K109" s="189" t="s">
        <v>613</v>
      </c>
      <c r="L109" s="326">
        <v>4</v>
      </c>
      <c r="M109" s="172" t="s">
        <v>315</v>
      </c>
      <c r="N109" s="191" t="s">
        <v>170</v>
      </c>
      <c r="O109" s="281"/>
      <c r="P109" s="310" t="s">
        <v>157</v>
      </c>
    </row>
    <row r="110" spans="2:17" ht="15.75" x14ac:dyDescent="0.25">
      <c r="B110" s="154">
        <v>1</v>
      </c>
      <c r="C110" s="168"/>
      <c r="D110" s="194" t="s">
        <v>614</v>
      </c>
      <c r="E110" s="157" t="s">
        <v>615</v>
      </c>
      <c r="F110" s="170" t="s">
        <v>616</v>
      </c>
      <c r="G110" s="211" t="s">
        <v>617</v>
      </c>
      <c r="H110" s="159"/>
      <c r="I110" s="160" t="s">
        <v>168</v>
      </c>
      <c r="J110" s="161">
        <v>37777</v>
      </c>
      <c r="K110" s="189" t="s">
        <v>618</v>
      </c>
      <c r="L110" s="326">
        <v>4</v>
      </c>
      <c r="M110" s="172" t="s">
        <v>315</v>
      </c>
      <c r="N110" s="191" t="s">
        <v>170</v>
      </c>
      <c r="O110" s="281"/>
      <c r="P110" s="310" t="s">
        <v>157</v>
      </c>
    </row>
    <row r="111" spans="2:17" ht="15.75" x14ac:dyDescent="0.25">
      <c r="B111" s="154">
        <v>1</v>
      </c>
      <c r="C111" s="168"/>
      <c r="D111" s="194" t="s">
        <v>619</v>
      </c>
      <c r="E111" s="157" t="s">
        <v>620</v>
      </c>
      <c r="F111" s="170"/>
      <c r="G111" s="211"/>
      <c r="H111" s="159"/>
      <c r="I111" s="160"/>
      <c r="J111" s="161"/>
      <c r="K111" s="189"/>
      <c r="L111" s="326">
        <v>2</v>
      </c>
      <c r="M111" s="172" t="s">
        <v>355</v>
      </c>
      <c r="N111" s="191"/>
      <c r="O111" s="281"/>
      <c r="P111" s="316" t="s">
        <v>153</v>
      </c>
      <c r="Q111" t="s">
        <v>346</v>
      </c>
    </row>
    <row r="112" spans="2:17" ht="15.75" x14ac:dyDescent="0.25">
      <c r="B112" s="154">
        <v>1</v>
      </c>
      <c r="C112" s="168"/>
      <c r="D112" s="194" t="s">
        <v>621</v>
      </c>
      <c r="E112" s="157" t="s">
        <v>622</v>
      </c>
      <c r="F112" s="170" t="s">
        <v>623</v>
      </c>
      <c r="G112" s="211"/>
      <c r="H112" s="159" t="s">
        <v>624</v>
      </c>
      <c r="I112" s="160" t="s">
        <v>168</v>
      </c>
      <c r="J112" s="161">
        <v>4456</v>
      </c>
      <c r="K112" s="189" t="s">
        <v>625</v>
      </c>
      <c r="L112" s="326">
        <v>2</v>
      </c>
      <c r="M112" s="172"/>
      <c r="N112" s="191"/>
      <c r="O112" s="281" t="s">
        <v>171</v>
      </c>
      <c r="P112" s="316" t="s">
        <v>229</v>
      </c>
    </row>
    <row r="113" spans="1:16" ht="15.75" x14ac:dyDescent="0.25">
      <c r="B113" s="154">
        <v>1</v>
      </c>
      <c r="C113" s="168"/>
      <c r="D113" s="194" t="s">
        <v>626</v>
      </c>
      <c r="E113" s="157" t="s">
        <v>627</v>
      </c>
      <c r="F113" s="170"/>
      <c r="G113" s="211"/>
      <c r="H113" s="159"/>
      <c r="I113" s="160"/>
      <c r="J113" s="161"/>
      <c r="K113" s="189"/>
      <c r="L113" s="326">
        <v>2</v>
      </c>
      <c r="M113" s="172" t="s">
        <v>355</v>
      </c>
      <c r="N113" s="191"/>
      <c r="O113" s="281"/>
      <c r="P113" s="220" t="s">
        <v>229</v>
      </c>
    </row>
    <row r="114" spans="1:16" ht="15.75" x14ac:dyDescent="0.25">
      <c r="B114" s="154">
        <v>1</v>
      </c>
      <c r="C114" s="168"/>
      <c r="D114" s="194" t="s">
        <v>94</v>
      </c>
      <c r="E114" s="157" t="s">
        <v>628</v>
      </c>
      <c r="F114" s="170"/>
      <c r="G114" s="211" t="s">
        <v>629</v>
      </c>
      <c r="H114" s="159"/>
      <c r="I114" s="160"/>
      <c r="J114" s="161"/>
      <c r="K114" s="189"/>
      <c r="L114" s="326">
        <v>2</v>
      </c>
      <c r="M114" s="172" t="s">
        <v>315</v>
      </c>
      <c r="N114" s="207"/>
      <c r="O114" s="281"/>
      <c r="P114" s="220" t="s">
        <v>229</v>
      </c>
    </row>
    <row r="115" spans="1:16" ht="16.5" thickBot="1" x14ac:dyDescent="0.3">
      <c r="B115" s="154">
        <v>1</v>
      </c>
      <c r="C115" s="176"/>
      <c r="D115" s="320" t="s">
        <v>630</v>
      </c>
      <c r="E115" s="195" t="s">
        <v>631</v>
      </c>
      <c r="F115" s="158" t="s">
        <v>632</v>
      </c>
      <c r="G115" s="211" t="s">
        <v>633</v>
      </c>
      <c r="H115" s="159" t="s">
        <v>634</v>
      </c>
      <c r="I115" s="160" t="s">
        <v>168</v>
      </c>
      <c r="J115" s="161">
        <v>4455</v>
      </c>
      <c r="K115" s="196" t="s">
        <v>635</v>
      </c>
      <c r="L115" s="329">
        <v>4</v>
      </c>
      <c r="M115" s="185" t="s">
        <v>355</v>
      </c>
      <c r="N115" s="197"/>
      <c r="O115" s="281"/>
      <c r="P115" s="310" t="s">
        <v>157</v>
      </c>
    </row>
    <row r="116" spans="1:16" ht="16.5" thickBot="1" x14ac:dyDescent="0.3">
      <c r="B116" s="304"/>
      <c r="C116" s="151"/>
      <c r="D116" s="134" t="s">
        <v>636</v>
      </c>
      <c r="E116" s="145" t="s">
        <v>144</v>
      </c>
      <c r="F116" s="146" t="s">
        <v>145</v>
      </c>
      <c r="G116" s="147"/>
      <c r="H116" s="147"/>
      <c r="I116" s="147"/>
      <c r="J116" s="148"/>
      <c r="K116" s="149"/>
      <c r="L116" s="150"/>
      <c r="M116" s="151" t="s">
        <v>146</v>
      </c>
      <c r="N116" s="152" t="s">
        <v>147</v>
      </c>
      <c r="O116" s="152" t="s">
        <v>148</v>
      </c>
      <c r="P116" s="153"/>
    </row>
    <row r="117" spans="1:16" ht="15.75" x14ac:dyDescent="0.25">
      <c r="A117">
        <v>1</v>
      </c>
      <c r="B117" s="154"/>
      <c r="C117" s="342"/>
      <c r="D117" s="194" t="s">
        <v>637</v>
      </c>
      <c r="E117" s="157" t="s">
        <v>638</v>
      </c>
      <c r="F117" s="170"/>
      <c r="G117" s="211" t="s">
        <v>639</v>
      </c>
      <c r="H117" s="159"/>
      <c r="I117" s="160"/>
      <c r="J117" s="161"/>
      <c r="K117" s="189"/>
      <c r="L117" s="243">
        <v>3</v>
      </c>
      <c r="M117" s="343"/>
      <c r="N117" s="344"/>
      <c r="O117" s="309"/>
      <c r="P117" s="316" t="s">
        <v>153</v>
      </c>
    </row>
    <row r="118" spans="1:16" ht="15.75" x14ac:dyDescent="0.25">
      <c r="B118" s="154"/>
      <c r="C118" s="342"/>
      <c r="D118" s="194" t="s">
        <v>640</v>
      </c>
      <c r="E118" s="157" t="s">
        <v>641</v>
      </c>
      <c r="F118" s="170"/>
      <c r="G118" s="211"/>
      <c r="H118" s="159"/>
      <c r="I118" s="160"/>
      <c r="J118" s="161"/>
      <c r="K118" s="189"/>
      <c r="L118" s="223"/>
      <c r="M118" s="302"/>
      <c r="N118" s="345"/>
      <c r="O118" s="281"/>
      <c r="P118" s="282"/>
    </row>
    <row r="119" spans="1:16" ht="15.75" x14ac:dyDescent="0.25">
      <c r="B119" s="154">
        <v>1</v>
      </c>
      <c r="C119" s="342"/>
      <c r="D119" s="194" t="s">
        <v>107</v>
      </c>
      <c r="E119" s="157" t="s">
        <v>642</v>
      </c>
      <c r="F119" s="170" t="s">
        <v>643</v>
      </c>
      <c r="G119" s="211"/>
      <c r="H119" s="159"/>
      <c r="I119" s="160"/>
      <c r="J119" s="161"/>
      <c r="K119" s="189" t="s">
        <v>247</v>
      </c>
      <c r="L119" s="223">
        <v>3</v>
      </c>
      <c r="M119" s="172" t="s">
        <v>182</v>
      </c>
      <c r="N119" s="345"/>
      <c r="O119" s="281"/>
      <c r="P119" s="282"/>
    </row>
    <row r="120" spans="1:16" ht="15.75" x14ac:dyDescent="0.25">
      <c r="B120" s="154">
        <v>1</v>
      </c>
      <c r="C120" s="342"/>
      <c r="D120" s="194" t="s">
        <v>109</v>
      </c>
      <c r="E120" s="157" t="s">
        <v>644</v>
      </c>
      <c r="F120" s="170"/>
      <c r="G120" s="211" t="s">
        <v>645</v>
      </c>
      <c r="H120" s="159"/>
      <c r="I120" s="160"/>
      <c r="J120" s="161"/>
      <c r="K120" s="189" t="s">
        <v>638</v>
      </c>
      <c r="L120" s="223">
        <v>7</v>
      </c>
      <c r="M120" s="172" t="s">
        <v>315</v>
      </c>
      <c r="N120" s="191" t="s">
        <v>170</v>
      </c>
      <c r="O120" s="281"/>
      <c r="P120" s="310" t="s">
        <v>157</v>
      </c>
    </row>
    <row r="121" spans="1:16" ht="15.75" x14ac:dyDescent="0.25">
      <c r="A121">
        <v>1</v>
      </c>
      <c r="B121" s="154"/>
      <c r="C121" s="342"/>
      <c r="D121" s="194" t="s">
        <v>646</v>
      </c>
      <c r="E121" s="157"/>
      <c r="F121" s="170"/>
      <c r="G121" s="211"/>
      <c r="H121" s="159"/>
      <c r="I121" s="160"/>
      <c r="J121" s="161"/>
      <c r="K121" s="189"/>
      <c r="L121" s="326">
        <v>1</v>
      </c>
      <c r="M121" s="172" t="s">
        <v>455</v>
      </c>
      <c r="N121" s="191"/>
      <c r="O121" s="281"/>
      <c r="P121" s="316" t="s">
        <v>153</v>
      </c>
    </row>
    <row r="122" spans="1:16" ht="16.5" thickBot="1" x14ac:dyDescent="0.3">
      <c r="B122" s="291">
        <v>1</v>
      </c>
      <c r="C122" s="342"/>
      <c r="D122" s="320" t="s">
        <v>110</v>
      </c>
      <c r="E122" s="178" t="s">
        <v>647</v>
      </c>
      <c r="F122" s="179" t="s">
        <v>540</v>
      </c>
      <c r="G122" s="227" t="s">
        <v>648</v>
      </c>
      <c r="H122" s="180"/>
      <c r="I122" s="181"/>
      <c r="J122" s="182"/>
      <c r="K122" s="228"/>
      <c r="L122" s="329">
        <v>2</v>
      </c>
      <c r="M122" s="185" t="s">
        <v>163</v>
      </c>
      <c r="N122" s="230" t="s">
        <v>285</v>
      </c>
      <c r="O122" s="340"/>
      <c r="P122" s="220" t="s">
        <v>229</v>
      </c>
    </row>
    <row r="123" spans="1:16" ht="16.5" thickBot="1" x14ac:dyDescent="0.3">
      <c r="B123" s="154"/>
      <c r="C123" s="336"/>
      <c r="D123" s="320"/>
      <c r="E123" s="195"/>
      <c r="F123" s="158"/>
      <c r="G123" s="211"/>
      <c r="H123" s="159"/>
      <c r="I123" s="160"/>
      <c r="J123" s="161"/>
      <c r="K123" s="196"/>
      <c r="L123" s="329">
        <f>SUM(L5:L122)</f>
        <v>423</v>
      </c>
      <c r="M123" s="185"/>
      <c r="N123" s="197"/>
      <c r="O123" s="281"/>
      <c r="P123" s="282"/>
    </row>
    <row r="124" spans="1:16" x14ac:dyDescent="0.25">
      <c r="B124" s="121">
        <f>SUM(B5:B123)</f>
        <v>87</v>
      </c>
      <c r="E124" s="122"/>
      <c r="G124" s="123"/>
      <c r="H124" s="123"/>
      <c r="I124" s="124"/>
      <c r="J124" s="121"/>
      <c r="K124" s="346"/>
      <c r="L124" s="121"/>
      <c r="P124" s="125"/>
    </row>
    <row r="125" spans="1:16" x14ac:dyDescent="0.25">
      <c r="B125" s="121"/>
      <c r="E125" s="122"/>
      <c r="G125" s="123"/>
      <c r="H125" s="123"/>
      <c r="I125" s="124"/>
      <c r="J125" s="121"/>
      <c r="L125" s="121"/>
      <c r="P125" s="125"/>
    </row>
  </sheetData>
  <mergeCells count="32">
    <mergeCell ref="C102:C105"/>
    <mergeCell ref="C108:C115"/>
    <mergeCell ref="C52:C60"/>
    <mergeCell ref="C61:C67"/>
    <mergeCell ref="C68:C74"/>
    <mergeCell ref="C80:C84"/>
    <mergeCell ref="C86:C92"/>
    <mergeCell ref="C94:C101"/>
    <mergeCell ref="C29:C51"/>
    <mergeCell ref="Q29:R29"/>
    <mergeCell ref="Q30:R30"/>
    <mergeCell ref="Q31:R31"/>
    <mergeCell ref="T31:V31"/>
    <mergeCell ref="Q33:R33"/>
    <mergeCell ref="T33:V33"/>
    <mergeCell ref="Q17:R17"/>
    <mergeCell ref="Q19:R19"/>
    <mergeCell ref="Q20:R20"/>
    <mergeCell ref="T20:V20"/>
    <mergeCell ref="Q23:R23"/>
    <mergeCell ref="Q28:R28"/>
    <mergeCell ref="T28:V28"/>
    <mergeCell ref="T2:U2"/>
    <mergeCell ref="E3:F3"/>
    <mergeCell ref="T3:U3"/>
    <mergeCell ref="C5:C8"/>
    <mergeCell ref="C9:C10"/>
    <mergeCell ref="E11:E12"/>
    <mergeCell ref="C12:C28"/>
    <mergeCell ref="Q14:R14"/>
    <mergeCell ref="Q15:R15"/>
    <mergeCell ref="Q16:R16"/>
  </mergeCells>
  <conditionalFormatting sqref="D77:P123 D5:O11 D15:P74 P5:P14 D12 F12:O12 D13:O14">
    <cfRule type="expression" dxfId="176" priority="75">
      <formula>ROW()=CELL("fila")</formula>
    </cfRule>
  </conditionalFormatting>
  <conditionalFormatting sqref="E5">
    <cfRule type="duplicateValues" dxfId="175" priority="155" stopIfTrue="1"/>
  </conditionalFormatting>
  <conditionalFormatting sqref="E6:E7">
    <cfRule type="duplicateValues" dxfId="174" priority="157" stopIfTrue="1"/>
  </conditionalFormatting>
  <conditionalFormatting sqref="E8">
    <cfRule type="duplicateValues" dxfId="173" priority="160" stopIfTrue="1"/>
  </conditionalFormatting>
  <conditionalFormatting sqref="E9">
    <cfRule type="duplicateValues" dxfId="172" priority="164" stopIfTrue="1"/>
  </conditionalFormatting>
  <conditionalFormatting sqref="E11">
    <cfRule type="duplicateValues" dxfId="171" priority="13" stopIfTrue="1"/>
    <cfRule type="duplicateValues" dxfId="170" priority="151" stopIfTrue="1"/>
  </conditionalFormatting>
  <conditionalFormatting sqref="E13:E15">
    <cfRule type="duplicateValues" dxfId="169" priority="153" stopIfTrue="1"/>
  </conditionalFormatting>
  <conditionalFormatting sqref="E16:E19">
    <cfRule type="duplicateValues" dxfId="168" priority="150" stopIfTrue="1"/>
  </conditionalFormatting>
  <conditionalFormatting sqref="E22">
    <cfRule type="duplicateValues" dxfId="167" priority="5" stopIfTrue="1"/>
  </conditionalFormatting>
  <conditionalFormatting sqref="E29">
    <cfRule type="duplicateValues" dxfId="166" priority="148" stopIfTrue="1"/>
  </conditionalFormatting>
  <conditionalFormatting sqref="E30:E39">
    <cfRule type="duplicateValues" dxfId="165" priority="176" stopIfTrue="1"/>
  </conditionalFormatting>
  <conditionalFormatting sqref="E40:E43">
    <cfRule type="duplicateValues" dxfId="164" priority="146" stopIfTrue="1"/>
  </conditionalFormatting>
  <conditionalFormatting sqref="E44">
    <cfRule type="duplicateValues" dxfId="163" priority="9" stopIfTrue="1"/>
  </conditionalFormatting>
  <conditionalFormatting sqref="E46:E50">
    <cfRule type="duplicateValues" dxfId="162" priority="144" stopIfTrue="1"/>
  </conditionalFormatting>
  <conditionalFormatting sqref="E52">
    <cfRule type="duplicateValues" dxfId="161" priority="142" stopIfTrue="1"/>
  </conditionalFormatting>
  <conditionalFormatting sqref="E53:E59">
    <cfRule type="duplicateValues" dxfId="160" priority="140" stopIfTrue="1"/>
  </conditionalFormatting>
  <conditionalFormatting sqref="E58:E60">
    <cfRule type="duplicateValues" dxfId="159" priority="138" stopIfTrue="1"/>
  </conditionalFormatting>
  <conditionalFormatting sqref="E60">
    <cfRule type="duplicateValues" dxfId="158" priority="11" stopIfTrue="1"/>
  </conditionalFormatting>
  <conditionalFormatting sqref="E61">
    <cfRule type="duplicateValues" dxfId="157" priority="134" stopIfTrue="1"/>
  </conditionalFormatting>
  <conditionalFormatting sqref="E62:E63">
    <cfRule type="duplicateValues" dxfId="156" priority="136" stopIfTrue="1"/>
  </conditionalFormatting>
  <conditionalFormatting sqref="E64">
    <cfRule type="duplicateValues" dxfId="155" priority="1" stopIfTrue="1"/>
  </conditionalFormatting>
  <conditionalFormatting sqref="E66">
    <cfRule type="duplicateValues" dxfId="154" priority="132" stopIfTrue="1"/>
  </conditionalFormatting>
  <conditionalFormatting sqref="E67 E64:E65 E51 E10 E20:E21 E44:E46 E23:E28">
    <cfRule type="duplicateValues" dxfId="153" priority="168" stopIfTrue="1"/>
  </conditionalFormatting>
  <conditionalFormatting sqref="E68">
    <cfRule type="duplicateValues" dxfId="152" priority="78" stopIfTrue="1"/>
  </conditionalFormatting>
  <conditionalFormatting sqref="E69:E70">
    <cfRule type="duplicateValues" dxfId="151" priority="80" stopIfTrue="1"/>
  </conditionalFormatting>
  <conditionalFormatting sqref="E71">
    <cfRule type="duplicateValues" dxfId="150" priority="7" stopIfTrue="1"/>
  </conditionalFormatting>
  <conditionalFormatting sqref="E71:E74">
    <cfRule type="duplicateValues" dxfId="149" priority="8" stopIfTrue="1"/>
    <cfRule type="duplicateValues" dxfId="148" priority="82" stopIfTrue="1"/>
  </conditionalFormatting>
  <conditionalFormatting sqref="E73">
    <cfRule type="duplicateValues" dxfId="147" priority="76" stopIfTrue="1"/>
  </conditionalFormatting>
  <conditionalFormatting sqref="E77">
    <cfRule type="duplicateValues" dxfId="146" priority="67" stopIfTrue="1"/>
  </conditionalFormatting>
  <conditionalFormatting sqref="E78">
    <cfRule type="duplicateValues" dxfId="145" priority="69" stopIfTrue="1"/>
  </conditionalFormatting>
  <conditionalFormatting sqref="E80">
    <cfRule type="duplicateValues" dxfId="144" priority="65" stopIfTrue="1"/>
  </conditionalFormatting>
  <conditionalFormatting sqref="E81:E83">
    <cfRule type="duplicateValues" dxfId="143" priority="71" stopIfTrue="1"/>
  </conditionalFormatting>
  <conditionalFormatting sqref="E82:E83">
    <cfRule type="duplicateValues" dxfId="142" priority="18" stopIfTrue="1"/>
  </conditionalFormatting>
  <conditionalFormatting sqref="E84">
    <cfRule type="duplicateValues" dxfId="141" priority="63" stopIfTrue="1"/>
  </conditionalFormatting>
  <conditionalFormatting sqref="E86">
    <cfRule type="duplicateValues" dxfId="140" priority="58" stopIfTrue="1"/>
    <cfRule type="duplicateValues" dxfId="139" priority="128" stopIfTrue="1"/>
  </conditionalFormatting>
  <conditionalFormatting sqref="E87">
    <cfRule type="duplicateValues" dxfId="138" priority="130" stopIfTrue="1"/>
  </conditionalFormatting>
  <conditionalFormatting sqref="E87:E88">
    <cfRule type="duplicateValues" dxfId="137" priority="60" stopIfTrue="1"/>
  </conditionalFormatting>
  <conditionalFormatting sqref="E88">
    <cfRule type="duplicateValues" dxfId="136" priority="56" stopIfTrue="1"/>
  </conditionalFormatting>
  <conditionalFormatting sqref="E89">
    <cfRule type="duplicateValues" dxfId="135" priority="126" stopIfTrue="1"/>
  </conditionalFormatting>
  <conditionalFormatting sqref="E89:E92">
    <cfRule type="duplicateValues" dxfId="134" priority="73" stopIfTrue="1"/>
  </conditionalFormatting>
  <conditionalFormatting sqref="E90:E92">
    <cfRule type="duplicateValues" dxfId="133" priority="170" stopIfTrue="1"/>
  </conditionalFormatting>
  <conditionalFormatting sqref="E92">
    <cfRule type="duplicateValues" dxfId="132" priority="16" stopIfTrue="1"/>
    <cfRule type="duplicateValues" dxfId="131" priority="87" stopIfTrue="1"/>
  </conditionalFormatting>
  <conditionalFormatting sqref="E93">
    <cfRule type="duplicateValues" dxfId="130" priority="124" stopIfTrue="1"/>
  </conditionalFormatting>
  <conditionalFormatting sqref="E94">
    <cfRule type="duplicateValues" dxfId="129" priority="52" stopIfTrue="1"/>
  </conditionalFormatting>
  <conditionalFormatting sqref="E95">
    <cfRule type="duplicateValues" dxfId="128" priority="119" stopIfTrue="1"/>
  </conditionalFormatting>
  <conditionalFormatting sqref="E95:E99">
    <cfRule type="duplicateValues" dxfId="127" priority="54" stopIfTrue="1"/>
  </conditionalFormatting>
  <conditionalFormatting sqref="E96:E98">
    <cfRule type="duplicateValues" dxfId="126" priority="121" stopIfTrue="1"/>
  </conditionalFormatting>
  <conditionalFormatting sqref="E97:E98">
    <cfRule type="duplicateValues" dxfId="125" priority="117" stopIfTrue="1"/>
  </conditionalFormatting>
  <conditionalFormatting sqref="E99:E101">
    <cfRule type="duplicateValues" dxfId="124" priority="172" stopIfTrue="1"/>
  </conditionalFormatting>
  <conditionalFormatting sqref="E100">
    <cfRule type="duplicateValues" dxfId="123" priority="50" stopIfTrue="1"/>
  </conditionalFormatting>
  <conditionalFormatting sqref="E101">
    <cfRule type="duplicateValues" dxfId="122" priority="48" stopIfTrue="1"/>
    <cfRule type="duplicateValues" dxfId="121" priority="85" stopIfTrue="1"/>
  </conditionalFormatting>
  <conditionalFormatting sqref="E103">
    <cfRule type="duplicateValues" dxfId="120" priority="40" stopIfTrue="1"/>
    <cfRule type="duplicateValues" dxfId="119" priority="113" stopIfTrue="1"/>
  </conditionalFormatting>
  <conditionalFormatting sqref="E104">
    <cfRule type="duplicateValues" dxfId="118" priority="42" stopIfTrue="1"/>
  </conditionalFormatting>
  <conditionalFormatting sqref="E104:E107">
    <cfRule type="duplicateValues" dxfId="117" priority="115" stopIfTrue="1"/>
  </conditionalFormatting>
  <conditionalFormatting sqref="E105">
    <cfRule type="duplicateValues" dxfId="116" priority="45" stopIfTrue="1"/>
  </conditionalFormatting>
  <conditionalFormatting sqref="E106">
    <cfRule type="duplicateValues" dxfId="115" priority="36" stopIfTrue="1"/>
  </conditionalFormatting>
  <conditionalFormatting sqref="E107">
    <cfRule type="duplicateValues" dxfId="114" priority="38" stopIfTrue="1"/>
  </conditionalFormatting>
  <conditionalFormatting sqref="E108">
    <cfRule type="duplicateValues" dxfId="113" priority="111" stopIfTrue="1"/>
  </conditionalFormatting>
  <conditionalFormatting sqref="E108:E114">
    <cfRule type="duplicateValues" dxfId="112" priority="34" stopIfTrue="1"/>
  </conditionalFormatting>
  <conditionalFormatting sqref="E109">
    <cfRule type="duplicateValues" dxfId="111" priority="109" stopIfTrue="1"/>
  </conditionalFormatting>
  <conditionalFormatting sqref="E111:E112">
    <cfRule type="duplicateValues" dxfId="110" priority="101" stopIfTrue="1"/>
  </conditionalFormatting>
  <conditionalFormatting sqref="E113">
    <cfRule type="duplicateValues" dxfId="109" priority="103" stopIfTrue="1"/>
  </conditionalFormatting>
  <conditionalFormatting sqref="E114">
    <cfRule type="duplicateValues" dxfId="108" priority="106" stopIfTrue="1"/>
  </conditionalFormatting>
  <conditionalFormatting sqref="E115">
    <cfRule type="duplicateValues" dxfId="107" priority="32" stopIfTrue="1"/>
    <cfRule type="duplicateValues" dxfId="106" priority="97" stopIfTrue="1"/>
  </conditionalFormatting>
  <conditionalFormatting sqref="E116">
    <cfRule type="duplicateValues" dxfId="105" priority="99" stopIfTrue="1"/>
  </conditionalFormatting>
  <conditionalFormatting sqref="E117:E121">
    <cfRule type="duplicateValues" dxfId="104" priority="29" stopIfTrue="1"/>
  </conditionalFormatting>
  <conditionalFormatting sqref="E117:E122">
    <cfRule type="duplicateValues" dxfId="103" priority="174" stopIfTrue="1"/>
  </conditionalFormatting>
  <conditionalFormatting sqref="E122">
    <cfRule type="duplicateValues" dxfId="102" priority="27" stopIfTrue="1"/>
  </conditionalFormatting>
  <conditionalFormatting sqref="E123">
    <cfRule type="duplicateValues" dxfId="101" priority="95" stopIfTrue="1"/>
  </conditionalFormatting>
  <conditionalFormatting sqref="G4">
    <cfRule type="duplicateValues" dxfId="100" priority="162"/>
  </conditionalFormatting>
  <conditionalFormatting sqref="G5">
    <cfRule type="duplicateValues" dxfId="99" priority="156"/>
  </conditionalFormatting>
  <conditionalFormatting sqref="G6:G7">
    <cfRule type="duplicateValues" dxfId="98" priority="158"/>
  </conditionalFormatting>
  <conditionalFormatting sqref="G8">
    <cfRule type="duplicateValues" dxfId="97" priority="161"/>
  </conditionalFormatting>
  <conditionalFormatting sqref="G9">
    <cfRule type="duplicateValues" dxfId="96" priority="165"/>
  </conditionalFormatting>
  <conditionalFormatting sqref="G11">
    <cfRule type="duplicateValues" dxfId="95" priority="14"/>
  </conditionalFormatting>
  <conditionalFormatting sqref="G12">
    <cfRule type="duplicateValues" dxfId="94" priority="152"/>
  </conditionalFormatting>
  <conditionalFormatting sqref="G13:G15">
    <cfRule type="duplicateValues" dxfId="93" priority="154"/>
  </conditionalFormatting>
  <conditionalFormatting sqref="G16:G19">
    <cfRule type="duplicateValues" dxfId="92" priority="166"/>
  </conditionalFormatting>
  <conditionalFormatting sqref="G22">
    <cfRule type="duplicateValues" dxfId="91" priority="6"/>
  </conditionalFormatting>
  <conditionalFormatting sqref="G29">
    <cfRule type="duplicateValues" dxfId="90" priority="149"/>
  </conditionalFormatting>
  <conditionalFormatting sqref="G30:G39">
    <cfRule type="duplicateValues" dxfId="89" priority="177"/>
  </conditionalFormatting>
  <conditionalFormatting sqref="G40:G43">
    <cfRule type="duplicateValues" dxfId="88" priority="147"/>
  </conditionalFormatting>
  <conditionalFormatting sqref="G44">
    <cfRule type="duplicateValues" dxfId="87" priority="10"/>
  </conditionalFormatting>
  <conditionalFormatting sqref="G44:G46 G10 G20:G21 G51 G64:G65 G67 G23:G28">
    <cfRule type="duplicateValues" dxfId="86" priority="169"/>
  </conditionalFormatting>
  <conditionalFormatting sqref="G46:G50">
    <cfRule type="duplicateValues" dxfId="85" priority="145"/>
  </conditionalFormatting>
  <conditionalFormatting sqref="G52">
    <cfRule type="duplicateValues" dxfId="84" priority="143"/>
  </conditionalFormatting>
  <conditionalFormatting sqref="G53:G59">
    <cfRule type="duplicateValues" dxfId="83" priority="141"/>
  </conditionalFormatting>
  <conditionalFormatting sqref="G58:G60">
    <cfRule type="duplicateValues" dxfId="82" priority="139"/>
  </conditionalFormatting>
  <conditionalFormatting sqref="G60">
    <cfRule type="duplicateValues" dxfId="81" priority="12"/>
  </conditionalFormatting>
  <conditionalFormatting sqref="G61">
    <cfRule type="duplicateValues" dxfId="80" priority="135"/>
  </conditionalFormatting>
  <conditionalFormatting sqref="G62:G63">
    <cfRule type="duplicateValues" dxfId="79" priority="137"/>
  </conditionalFormatting>
  <conditionalFormatting sqref="G64">
    <cfRule type="duplicateValues" dxfId="78" priority="2"/>
  </conditionalFormatting>
  <conditionalFormatting sqref="G66">
    <cfRule type="duplicateValues" dxfId="77" priority="133"/>
  </conditionalFormatting>
  <conditionalFormatting sqref="G68">
    <cfRule type="duplicateValues" dxfId="76" priority="79"/>
  </conditionalFormatting>
  <conditionalFormatting sqref="G69:G70">
    <cfRule type="duplicateValues" dxfId="75" priority="81"/>
  </conditionalFormatting>
  <conditionalFormatting sqref="G71:G73 H71:K72">
    <cfRule type="duplicateValues" dxfId="74" priority="77"/>
  </conditionalFormatting>
  <conditionalFormatting sqref="G74 G71:K72">
    <cfRule type="duplicateValues" dxfId="73" priority="83"/>
  </conditionalFormatting>
  <conditionalFormatting sqref="G76">
    <cfRule type="duplicateValues" dxfId="72" priority="25"/>
  </conditionalFormatting>
  <conditionalFormatting sqref="G77">
    <cfRule type="duplicateValues" dxfId="71" priority="68"/>
  </conditionalFormatting>
  <conditionalFormatting sqref="G78">
    <cfRule type="duplicateValues" dxfId="70" priority="70"/>
  </conditionalFormatting>
  <conditionalFormatting sqref="G79">
    <cfRule type="duplicateValues" dxfId="69" priority="24"/>
  </conditionalFormatting>
  <conditionalFormatting sqref="G80">
    <cfRule type="duplicateValues" dxfId="68" priority="66"/>
  </conditionalFormatting>
  <conditionalFormatting sqref="G81:G83">
    <cfRule type="duplicateValues" dxfId="67" priority="72"/>
  </conditionalFormatting>
  <conditionalFormatting sqref="G82:G83">
    <cfRule type="duplicateValues" dxfId="66" priority="19"/>
  </conditionalFormatting>
  <conditionalFormatting sqref="G84">
    <cfRule type="duplicateValues" dxfId="65" priority="64"/>
  </conditionalFormatting>
  <conditionalFormatting sqref="G85">
    <cfRule type="duplicateValues" dxfId="64" priority="23"/>
    <cfRule type="duplicateValues" dxfId="63" priority="93"/>
  </conditionalFormatting>
  <conditionalFormatting sqref="G86">
    <cfRule type="duplicateValues" dxfId="62" priority="59"/>
    <cfRule type="duplicateValues" dxfId="61" priority="129"/>
  </conditionalFormatting>
  <conditionalFormatting sqref="G87">
    <cfRule type="duplicateValues" dxfId="60" priority="131"/>
  </conditionalFormatting>
  <conditionalFormatting sqref="G87:G88">
    <cfRule type="duplicateValues" dxfId="59" priority="61"/>
  </conditionalFormatting>
  <conditionalFormatting sqref="G88">
    <cfRule type="duplicateValues" dxfId="58" priority="57"/>
    <cfRule type="duplicateValues" dxfId="57" priority="92"/>
  </conditionalFormatting>
  <conditionalFormatting sqref="G89">
    <cfRule type="duplicateValues" dxfId="56" priority="127"/>
  </conditionalFormatting>
  <conditionalFormatting sqref="G89:G92">
    <cfRule type="duplicateValues" dxfId="55" priority="74"/>
  </conditionalFormatting>
  <conditionalFormatting sqref="G90:G92">
    <cfRule type="duplicateValues" dxfId="54" priority="171"/>
  </conditionalFormatting>
  <conditionalFormatting sqref="G92">
    <cfRule type="duplicateValues" dxfId="53" priority="17"/>
    <cfRule type="duplicateValues" dxfId="52" priority="88"/>
  </conditionalFormatting>
  <conditionalFormatting sqref="G93">
    <cfRule type="duplicateValues" dxfId="51" priority="22"/>
    <cfRule type="duplicateValues" dxfId="50" priority="125"/>
  </conditionalFormatting>
  <conditionalFormatting sqref="G94">
    <cfRule type="duplicateValues" dxfId="49" priority="53"/>
    <cfRule type="duplicateValues" dxfId="48" priority="91"/>
  </conditionalFormatting>
  <conditionalFormatting sqref="G95">
    <cfRule type="duplicateValues" dxfId="47" priority="120"/>
  </conditionalFormatting>
  <conditionalFormatting sqref="G95:G99">
    <cfRule type="duplicateValues" dxfId="46" priority="55"/>
  </conditionalFormatting>
  <conditionalFormatting sqref="G96:G98">
    <cfRule type="duplicateValues" dxfId="45" priority="122"/>
  </conditionalFormatting>
  <conditionalFormatting sqref="G97:G98">
    <cfRule type="duplicateValues" dxfId="44" priority="118"/>
  </conditionalFormatting>
  <conditionalFormatting sqref="G99:G101">
    <cfRule type="duplicateValues" dxfId="43" priority="173"/>
  </conditionalFormatting>
  <conditionalFormatting sqref="G100">
    <cfRule type="duplicateValues" dxfId="42" priority="51"/>
  </conditionalFormatting>
  <conditionalFormatting sqref="G101">
    <cfRule type="duplicateValues" dxfId="41" priority="49"/>
    <cfRule type="duplicateValues" dxfId="40" priority="86"/>
  </conditionalFormatting>
  <conditionalFormatting sqref="G102">
    <cfRule type="duplicateValues" dxfId="39" priority="21"/>
    <cfRule type="duplicateValues" dxfId="38" priority="90"/>
  </conditionalFormatting>
  <conditionalFormatting sqref="G103">
    <cfRule type="duplicateValues" dxfId="37" priority="41"/>
    <cfRule type="duplicateValues" dxfId="36" priority="114"/>
  </conditionalFormatting>
  <conditionalFormatting sqref="G104">
    <cfRule type="duplicateValues" dxfId="35" priority="43"/>
  </conditionalFormatting>
  <conditionalFormatting sqref="G104:G107">
    <cfRule type="duplicateValues" dxfId="34" priority="116"/>
  </conditionalFormatting>
  <conditionalFormatting sqref="G105">
    <cfRule type="duplicateValues" dxfId="33" priority="46"/>
  </conditionalFormatting>
  <conditionalFormatting sqref="G106">
    <cfRule type="duplicateValues" dxfId="32" priority="37"/>
  </conditionalFormatting>
  <conditionalFormatting sqref="G107">
    <cfRule type="duplicateValues" dxfId="31" priority="39"/>
  </conditionalFormatting>
  <conditionalFormatting sqref="G108">
    <cfRule type="duplicateValues" dxfId="30" priority="112"/>
  </conditionalFormatting>
  <conditionalFormatting sqref="G108:G114">
    <cfRule type="duplicateValues" dxfId="29" priority="35"/>
  </conditionalFormatting>
  <conditionalFormatting sqref="G109">
    <cfRule type="duplicateValues" dxfId="28" priority="110"/>
  </conditionalFormatting>
  <conditionalFormatting sqref="G110">
    <cfRule type="duplicateValues" dxfId="27" priority="89"/>
  </conditionalFormatting>
  <conditionalFormatting sqref="G111:G112">
    <cfRule type="duplicateValues" dxfId="26" priority="102"/>
  </conditionalFormatting>
  <conditionalFormatting sqref="G112">
    <cfRule type="duplicateValues" dxfId="25" priority="3"/>
    <cfRule type="duplicateValues" dxfId="24" priority="4"/>
  </conditionalFormatting>
  <conditionalFormatting sqref="G113">
    <cfRule type="duplicateValues" dxfId="23" priority="104"/>
  </conditionalFormatting>
  <conditionalFormatting sqref="G114">
    <cfRule type="duplicateValues" dxfId="22" priority="107"/>
  </conditionalFormatting>
  <conditionalFormatting sqref="G115">
    <cfRule type="duplicateValues" dxfId="21" priority="33"/>
    <cfRule type="duplicateValues" dxfId="20" priority="98"/>
  </conditionalFormatting>
  <conditionalFormatting sqref="G116">
    <cfRule type="duplicateValues" dxfId="19" priority="20"/>
    <cfRule type="duplicateValues" dxfId="18" priority="100"/>
  </conditionalFormatting>
  <conditionalFormatting sqref="G117:G121">
    <cfRule type="duplicateValues" dxfId="17" priority="30"/>
  </conditionalFormatting>
  <conditionalFormatting sqref="G117:G122">
    <cfRule type="duplicateValues" dxfId="16" priority="175"/>
  </conditionalFormatting>
  <conditionalFormatting sqref="G122">
    <cfRule type="duplicateValues" dxfId="15" priority="28"/>
  </conditionalFormatting>
  <conditionalFormatting sqref="G123">
    <cfRule type="duplicateValues" dxfId="14" priority="96"/>
  </conditionalFormatting>
  <conditionalFormatting sqref="K8">
    <cfRule type="duplicateValues" dxfId="13" priority="159"/>
  </conditionalFormatting>
  <conditionalFormatting sqref="K10">
    <cfRule type="duplicateValues" dxfId="12" priority="167"/>
  </conditionalFormatting>
  <conditionalFormatting sqref="K28">
    <cfRule type="duplicateValues" dxfId="11" priority="163"/>
  </conditionalFormatting>
  <conditionalFormatting sqref="K84">
    <cfRule type="duplicateValues" dxfId="10" priority="62"/>
  </conditionalFormatting>
  <conditionalFormatting sqref="K92">
    <cfRule type="duplicateValues" dxfId="9" priority="15"/>
  </conditionalFormatting>
  <conditionalFormatting sqref="K93">
    <cfRule type="duplicateValues" dxfId="8" priority="123"/>
  </conditionalFormatting>
  <conditionalFormatting sqref="K101">
    <cfRule type="duplicateValues" dxfId="7" priority="47"/>
    <cfRule type="duplicateValues" dxfId="6" priority="84"/>
  </conditionalFormatting>
  <conditionalFormatting sqref="K105">
    <cfRule type="duplicateValues" dxfId="5" priority="44"/>
  </conditionalFormatting>
  <conditionalFormatting sqref="K109">
    <cfRule type="duplicateValues" dxfId="4" priority="108"/>
  </conditionalFormatting>
  <conditionalFormatting sqref="K114">
    <cfRule type="duplicateValues" dxfId="3" priority="105"/>
  </conditionalFormatting>
  <conditionalFormatting sqref="K115">
    <cfRule type="duplicateValues" dxfId="2" priority="31"/>
  </conditionalFormatting>
  <conditionalFormatting sqref="K122">
    <cfRule type="duplicateValues" dxfId="1" priority="26"/>
  </conditionalFormatting>
  <conditionalFormatting sqref="K123">
    <cfRule type="duplicateValues" dxfId="0" priority="94"/>
  </conditionalFormatting>
  <dataValidations count="3">
    <dataValidation type="custom" allowBlank="1" showInputMessage="1" showErrorMessage="1" errorTitle="IP REPETIDA" error="IP REPETIDA" sqref="H4:H8" xr:uid="{5287BD9B-D7C4-4A27-989E-3D751CB56256}">
      <formula1>COUNTIF($H$9:$H$116,#REF!)=1</formula1>
    </dataValidation>
    <dataValidation type="custom" allowBlank="1" showInputMessage="1" showErrorMessage="1" errorTitle="FF" error="FFF" sqref="H123 G110:G113 H9:H74 H76:H121" xr:uid="{F0D03895-5CC9-463A-838A-149FD355A640}">
      <formula1>COUNTIF($H$9:$H$123,G9)=1</formula1>
    </dataValidation>
    <dataValidation type="custom" allowBlank="1" showInputMessage="1" showErrorMessage="1" errorTitle="IP REPETIDA" error="IP REPETIDA" sqref="G123 G76:G109 F9 K10 G115:G121 G9:G74" xr:uid="{2EEC767A-1E2E-4DDD-B484-D9820F1C27CD}">
      <formula1>COUNTIF($G$9:$G$116,F9)=1</formula1>
    </dataValidation>
  </dataValidations>
  <hyperlinks>
    <hyperlink ref="N13" location="'IP Alarmas'!A1" display="Alarma oxford" xr:uid="{E7281B39-2EBA-4582-80A8-F9E38E9C56C6}"/>
    <hyperlink ref="N43" location="'IP Alarmas'!A1" display="Alarma oxford" xr:uid="{137F4AE5-51F3-44E4-921A-6BF6316A07A4}"/>
    <hyperlink ref="N9" location="'IP Alarmas'!A1" display="Alarma oxford" xr:uid="{957BFDF0-02AD-4EDB-A29F-B857D676E81E}"/>
    <hyperlink ref="N120" location="'IP Alarmas'!A1" display="Alarma oxford" xr:uid="{35362E8B-86CF-4FA5-B2B5-B3BFEE61AD24}"/>
    <hyperlink ref="N22" location="'IP Alarmas'!A1" display="Alarma oxford" xr:uid="{75A61E82-65BC-447C-B6E0-8AF29C4A05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C85C-FD92-425C-9049-6CC5F36A3EAD}">
  <dimension ref="B1:L19"/>
  <sheetViews>
    <sheetView workbookViewId="0">
      <selection activeCell="I26" sqref="I26"/>
    </sheetView>
  </sheetViews>
  <sheetFormatPr baseColWidth="10" defaultRowHeight="15" x14ac:dyDescent="0.25"/>
  <cols>
    <col min="1" max="1" width="7.28515625" customWidth="1"/>
    <col min="3" max="3" width="18.85546875" bestFit="1" customWidth="1"/>
    <col min="4" max="4" width="16.5703125" bestFit="1" customWidth="1"/>
    <col min="5" max="5" width="14.7109375" bestFit="1" customWidth="1"/>
    <col min="9" max="9" width="9.140625" bestFit="1" customWidth="1"/>
    <col min="10" max="10" width="9.5703125" bestFit="1" customWidth="1"/>
    <col min="11" max="11" width="21.7109375" bestFit="1" customWidth="1"/>
    <col min="12" max="12" width="13.28515625" bestFit="1" customWidth="1"/>
  </cols>
  <sheetData>
    <row r="1" spans="2:12" ht="15.75" thickBot="1" x14ac:dyDescent="0.3"/>
    <row r="2" spans="2:12" ht="15.75" thickBot="1" x14ac:dyDescent="0.3">
      <c r="C2" s="347" t="s">
        <v>649</v>
      </c>
      <c r="D2" s="348" t="s">
        <v>650</v>
      </c>
      <c r="E2" s="348" t="s">
        <v>651</v>
      </c>
      <c r="F2" s="348" t="s">
        <v>652</v>
      </c>
      <c r="G2" s="348" t="s">
        <v>653</v>
      </c>
      <c r="H2" s="348" t="s">
        <v>654</v>
      </c>
      <c r="I2" s="348" t="s">
        <v>655</v>
      </c>
      <c r="J2" s="348" t="s">
        <v>656</v>
      </c>
      <c r="K2" s="349" t="s">
        <v>657</v>
      </c>
      <c r="L2" s="350" t="s">
        <v>658</v>
      </c>
    </row>
    <row r="3" spans="2:12" x14ac:dyDescent="0.25">
      <c r="B3" s="351">
        <v>1</v>
      </c>
      <c r="C3" s="352" t="s">
        <v>659</v>
      </c>
      <c r="D3" s="353" t="s">
        <v>660</v>
      </c>
      <c r="E3" s="354" t="s">
        <v>661</v>
      </c>
      <c r="F3" s="355" t="s">
        <v>662</v>
      </c>
      <c r="G3" s="356" t="s">
        <v>663</v>
      </c>
      <c r="H3" s="354" t="s">
        <v>664</v>
      </c>
      <c r="I3" s="357" t="s">
        <v>665</v>
      </c>
      <c r="J3" s="357" t="s">
        <v>666</v>
      </c>
      <c r="K3" s="358" t="s">
        <v>663</v>
      </c>
      <c r="L3" s="359" t="s">
        <v>168</v>
      </c>
    </row>
    <row r="4" spans="2:12" x14ac:dyDescent="0.25">
      <c r="B4" s="360">
        <v>2</v>
      </c>
      <c r="C4" s="361" t="s">
        <v>230</v>
      </c>
      <c r="D4" s="362" t="s">
        <v>667</v>
      </c>
      <c r="E4" s="363" t="s">
        <v>668</v>
      </c>
      <c r="F4" s="364" t="s">
        <v>669</v>
      </c>
      <c r="G4" s="365" t="s">
        <v>670</v>
      </c>
      <c r="H4" s="363" t="s">
        <v>671</v>
      </c>
      <c r="I4" s="366" t="s">
        <v>672</v>
      </c>
      <c r="J4" s="366" t="s">
        <v>673</v>
      </c>
      <c r="K4" s="367" t="s">
        <v>670</v>
      </c>
      <c r="L4" s="368" t="s">
        <v>168</v>
      </c>
    </row>
    <row r="5" spans="2:12" x14ac:dyDescent="0.25">
      <c r="B5" s="360">
        <v>3</v>
      </c>
      <c r="C5" s="361" t="s">
        <v>674</v>
      </c>
      <c r="D5" s="362" t="s">
        <v>675</v>
      </c>
      <c r="E5" s="363" t="s">
        <v>668</v>
      </c>
      <c r="F5" s="364" t="s">
        <v>676</v>
      </c>
      <c r="G5" s="365" t="s">
        <v>677</v>
      </c>
      <c r="H5" s="363" t="s">
        <v>671</v>
      </c>
      <c r="I5" s="366" t="s">
        <v>672</v>
      </c>
      <c r="J5" s="366"/>
      <c r="K5" s="367" t="s">
        <v>677</v>
      </c>
      <c r="L5" s="369"/>
    </row>
    <row r="6" spans="2:12" x14ac:dyDescent="0.25">
      <c r="B6" s="360">
        <v>4</v>
      </c>
      <c r="C6" s="361" t="s">
        <v>678</v>
      </c>
      <c r="D6" s="362" t="s">
        <v>679</v>
      </c>
      <c r="E6" s="363" t="s">
        <v>668</v>
      </c>
      <c r="F6" s="364" t="s">
        <v>676</v>
      </c>
      <c r="G6" s="365" t="s">
        <v>680</v>
      </c>
      <c r="H6" s="363" t="s">
        <v>671</v>
      </c>
      <c r="I6" s="366" t="s">
        <v>672</v>
      </c>
      <c r="J6" s="366"/>
      <c r="K6" s="367" t="s">
        <v>680</v>
      </c>
      <c r="L6" s="369"/>
    </row>
    <row r="7" spans="2:12" x14ac:dyDescent="0.25">
      <c r="B7" s="360">
        <v>5</v>
      </c>
      <c r="C7" s="361" t="s">
        <v>681</v>
      </c>
      <c r="D7" s="362" t="s">
        <v>682</v>
      </c>
      <c r="E7" s="363" t="s">
        <v>668</v>
      </c>
      <c r="F7" s="364" t="s">
        <v>676</v>
      </c>
      <c r="G7" s="365" t="s">
        <v>683</v>
      </c>
      <c r="H7" s="363" t="s">
        <v>671</v>
      </c>
      <c r="I7" s="366" t="s">
        <v>672</v>
      </c>
      <c r="J7" s="366"/>
      <c r="K7" s="367" t="s">
        <v>683</v>
      </c>
      <c r="L7" s="369"/>
    </row>
    <row r="8" spans="2:12" ht="15.75" thickBot="1" x14ac:dyDescent="0.3">
      <c r="B8" s="370">
        <v>6</v>
      </c>
      <c r="C8" s="371" t="s">
        <v>684</v>
      </c>
      <c r="D8" s="372" t="s">
        <v>685</v>
      </c>
      <c r="E8" s="373" t="s">
        <v>668</v>
      </c>
      <c r="F8" s="374" t="s">
        <v>669</v>
      </c>
      <c r="G8" s="375" t="s">
        <v>686</v>
      </c>
      <c r="H8" s="373" t="s">
        <v>671</v>
      </c>
      <c r="I8" s="376" t="s">
        <v>687</v>
      </c>
      <c r="J8" s="376" t="s">
        <v>688</v>
      </c>
      <c r="K8" s="377" t="s">
        <v>686</v>
      </c>
      <c r="L8" s="378" t="s">
        <v>168</v>
      </c>
    </row>
    <row r="9" spans="2:12" x14ac:dyDescent="0.25">
      <c r="B9" s="351">
        <v>7</v>
      </c>
      <c r="C9" s="379" t="s">
        <v>689</v>
      </c>
      <c r="D9" s="380" t="s">
        <v>690</v>
      </c>
      <c r="E9" s="381" t="s">
        <v>661</v>
      </c>
      <c r="F9" s="382" t="s">
        <v>691</v>
      </c>
      <c r="G9" s="383" t="s">
        <v>692</v>
      </c>
      <c r="H9" s="381" t="s">
        <v>671</v>
      </c>
      <c r="I9" s="384" t="s">
        <v>672</v>
      </c>
      <c r="J9" s="385" t="s">
        <v>693</v>
      </c>
      <c r="K9" s="386" t="s">
        <v>692</v>
      </c>
      <c r="L9" s="359" t="s">
        <v>168</v>
      </c>
    </row>
    <row r="10" spans="2:12" x14ac:dyDescent="0.25">
      <c r="B10" s="360">
        <v>8</v>
      </c>
      <c r="C10" s="361" t="s">
        <v>97</v>
      </c>
      <c r="D10" s="362" t="s">
        <v>694</v>
      </c>
      <c r="E10" s="363" t="s">
        <v>661</v>
      </c>
      <c r="F10" s="364" t="s">
        <v>695</v>
      </c>
      <c r="G10" s="365" t="s">
        <v>696</v>
      </c>
      <c r="H10" s="363" t="s">
        <v>671</v>
      </c>
      <c r="I10" s="366" t="s">
        <v>672</v>
      </c>
      <c r="J10" s="366" t="s">
        <v>697</v>
      </c>
      <c r="K10" s="367" t="s">
        <v>696</v>
      </c>
      <c r="L10" s="368" t="s">
        <v>168</v>
      </c>
    </row>
    <row r="11" spans="2:12" x14ac:dyDescent="0.25">
      <c r="B11" s="360">
        <v>9</v>
      </c>
      <c r="C11" s="361" t="s">
        <v>698</v>
      </c>
      <c r="D11" s="362" t="s">
        <v>699</v>
      </c>
      <c r="E11" s="363" t="s">
        <v>661</v>
      </c>
      <c r="F11" s="364" t="s">
        <v>700</v>
      </c>
      <c r="G11" s="365" t="s">
        <v>701</v>
      </c>
      <c r="H11" s="363" t="s">
        <v>671</v>
      </c>
      <c r="I11" s="366" t="s">
        <v>672</v>
      </c>
      <c r="J11" s="366" t="s">
        <v>702</v>
      </c>
      <c r="K11" s="367" t="s">
        <v>701</v>
      </c>
      <c r="L11" s="368" t="s">
        <v>168</v>
      </c>
    </row>
    <row r="12" spans="2:12" x14ac:dyDescent="0.25">
      <c r="B12" s="360">
        <v>10</v>
      </c>
      <c r="C12" s="361" t="s">
        <v>703</v>
      </c>
      <c r="D12" s="362" t="s">
        <v>704</v>
      </c>
      <c r="E12" s="363" t="s">
        <v>661</v>
      </c>
      <c r="F12" s="364" t="s">
        <v>695</v>
      </c>
      <c r="G12" s="365" t="s">
        <v>705</v>
      </c>
      <c r="H12" s="363" t="s">
        <v>671</v>
      </c>
      <c r="I12" s="366" t="s">
        <v>672</v>
      </c>
      <c r="J12" s="366">
        <v>29143022</v>
      </c>
      <c r="K12" s="367" t="s">
        <v>705</v>
      </c>
      <c r="L12" s="368" t="s">
        <v>168</v>
      </c>
    </row>
    <row r="13" spans="2:12" x14ac:dyDescent="0.25">
      <c r="B13" s="360">
        <v>11</v>
      </c>
      <c r="C13" s="361" t="s">
        <v>706</v>
      </c>
      <c r="D13" s="362" t="s">
        <v>707</v>
      </c>
      <c r="E13" s="363" t="s">
        <v>661</v>
      </c>
      <c r="F13" s="364" t="s">
        <v>695</v>
      </c>
      <c r="G13" s="365" t="s">
        <v>708</v>
      </c>
      <c r="H13" s="363" t="s">
        <v>671</v>
      </c>
      <c r="I13" s="366" t="s">
        <v>672</v>
      </c>
      <c r="J13" s="366">
        <v>29143021</v>
      </c>
      <c r="K13" s="367" t="s">
        <v>708</v>
      </c>
      <c r="L13" s="368" t="s">
        <v>168</v>
      </c>
    </row>
    <row r="14" spans="2:12" ht="15.75" thickBot="1" x14ac:dyDescent="0.3">
      <c r="B14" s="387">
        <v>12</v>
      </c>
      <c r="C14" s="371" t="s">
        <v>709</v>
      </c>
      <c r="D14" s="372" t="s">
        <v>710</v>
      </c>
      <c r="E14" s="373" t="s">
        <v>661</v>
      </c>
      <c r="F14" s="374" t="s">
        <v>700</v>
      </c>
      <c r="G14" s="375" t="s">
        <v>711</v>
      </c>
      <c r="H14" s="373"/>
      <c r="I14" s="376"/>
      <c r="J14" s="376"/>
      <c r="K14" s="377" t="s">
        <v>711</v>
      </c>
      <c r="L14" s="388"/>
    </row>
    <row r="15" spans="2:12" x14ac:dyDescent="0.25">
      <c r="B15" s="389">
        <v>13</v>
      </c>
      <c r="C15" s="379" t="s">
        <v>712</v>
      </c>
      <c r="D15" s="380" t="s">
        <v>713</v>
      </c>
      <c r="E15" s="381" t="s">
        <v>661</v>
      </c>
      <c r="F15" s="382" t="s">
        <v>714</v>
      </c>
      <c r="G15" s="383" t="s">
        <v>715</v>
      </c>
      <c r="H15" s="381" t="s">
        <v>664</v>
      </c>
      <c r="I15" s="384" t="s">
        <v>716</v>
      </c>
      <c r="J15" s="384" t="s">
        <v>717</v>
      </c>
      <c r="K15" s="386" t="s">
        <v>715</v>
      </c>
      <c r="L15" s="390"/>
    </row>
    <row r="16" spans="2:12" x14ac:dyDescent="0.25">
      <c r="B16" s="360">
        <v>14</v>
      </c>
      <c r="C16" s="361" t="s">
        <v>718</v>
      </c>
      <c r="D16" s="362" t="s">
        <v>719</v>
      </c>
      <c r="E16" s="363" t="s">
        <v>661</v>
      </c>
      <c r="F16" s="364" t="s">
        <v>720</v>
      </c>
      <c r="G16" s="365" t="s">
        <v>721</v>
      </c>
      <c r="H16" s="363" t="s">
        <v>671</v>
      </c>
      <c r="I16" s="366" t="s">
        <v>672</v>
      </c>
      <c r="J16" s="366" t="s">
        <v>722</v>
      </c>
      <c r="K16" s="367" t="s">
        <v>721</v>
      </c>
      <c r="L16" s="368" t="s">
        <v>168</v>
      </c>
    </row>
    <row r="17" spans="2:12" x14ac:dyDescent="0.25">
      <c r="B17" s="360">
        <v>15</v>
      </c>
      <c r="C17" s="361" t="s">
        <v>723</v>
      </c>
      <c r="D17" s="362" t="s">
        <v>724</v>
      </c>
      <c r="E17" s="363" t="s">
        <v>668</v>
      </c>
      <c r="F17" s="364" t="s">
        <v>725</v>
      </c>
      <c r="G17" s="365" t="s">
        <v>726</v>
      </c>
      <c r="H17" s="363" t="s">
        <v>671</v>
      </c>
      <c r="I17" s="366" t="s">
        <v>672</v>
      </c>
      <c r="J17" s="366" t="s">
        <v>727</v>
      </c>
      <c r="K17" s="367" t="s">
        <v>726</v>
      </c>
      <c r="L17" s="368" t="s">
        <v>168</v>
      </c>
    </row>
    <row r="18" spans="2:12" x14ac:dyDescent="0.25">
      <c r="B18" s="360">
        <v>16</v>
      </c>
      <c r="C18" s="361" t="s">
        <v>498</v>
      </c>
      <c r="D18" s="362" t="s">
        <v>728</v>
      </c>
      <c r="E18" s="363" t="s">
        <v>661</v>
      </c>
      <c r="F18" s="364" t="s">
        <v>729</v>
      </c>
      <c r="G18" s="365" t="s">
        <v>730</v>
      </c>
      <c r="H18" s="363" t="s">
        <v>671</v>
      </c>
      <c r="I18" s="366" t="s">
        <v>672</v>
      </c>
      <c r="J18" s="366" t="s">
        <v>731</v>
      </c>
      <c r="K18" s="367" t="s">
        <v>730</v>
      </c>
      <c r="L18" s="368" t="s">
        <v>168</v>
      </c>
    </row>
    <row r="19" spans="2:12" ht="15.75" thickBot="1" x14ac:dyDescent="0.3">
      <c r="B19" s="387">
        <v>17</v>
      </c>
      <c r="C19" s="391" t="s">
        <v>732</v>
      </c>
      <c r="D19" s="392" t="s">
        <v>733</v>
      </c>
      <c r="E19" s="393" t="s">
        <v>734</v>
      </c>
      <c r="F19" s="394" t="s">
        <v>735</v>
      </c>
      <c r="G19" s="395" t="s">
        <v>736</v>
      </c>
      <c r="H19" s="393" t="s">
        <v>671</v>
      </c>
      <c r="I19" s="396"/>
      <c r="J19" s="396"/>
      <c r="K19" s="397" t="s">
        <v>736</v>
      </c>
      <c r="L19" s="398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B499-AA5D-4FC1-AB45-65670B2CDFED}">
  <dimension ref="B1:M9"/>
  <sheetViews>
    <sheetView tabSelected="1" workbookViewId="0">
      <selection activeCell="H27" sqref="H27"/>
    </sheetView>
  </sheetViews>
  <sheetFormatPr baseColWidth="10" defaultRowHeight="15" x14ac:dyDescent="0.25"/>
  <cols>
    <col min="1" max="1" width="6.85546875" customWidth="1"/>
    <col min="9" max="9" width="16.5703125" bestFit="1" customWidth="1"/>
    <col min="11" max="11" width="30.28515625" bestFit="1" customWidth="1"/>
    <col min="13" max="13" width="20" bestFit="1" customWidth="1"/>
  </cols>
  <sheetData>
    <row r="1" spans="2:13" ht="15.75" thickBot="1" x14ac:dyDescent="0.3"/>
    <row r="2" spans="2:13" ht="15.75" thickBot="1" x14ac:dyDescent="0.3">
      <c r="B2" s="121"/>
      <c r="C2" s="399" t="s">
        <v>737</v>
      </c>
      <c r="D2" s="400" t="s">
        <v>738</v>
      </c>
      <c r="E2" s="401" t="s">
        <v>739</v>
      </c>
      <c r="F2" s="401" t="s">
        <v>740</v>
      </c>
      <c r="G2" s="402" t="s">
        <v>741</v>
      </c>
      <c r="H2" s="403" t="s">
        <v>742</v>
      </c>
      <c r="I2" s="404" t="s">
        <v>743</v>
      </c>
      <c r="J2" s="405" t="s">
        <v>744</v>
      </c>
      <c r="K2" s="399" t="s">
        <v>745</v>
      </c>
      <c r="L2" s="402" t="s">
        <v>746</v>
      </c>
      <c r="M2" s="420" t="s">
        <v>747</v>
      </c>
    </row>
    <row r="3" spans="2:13" x14ac:dyDescent="0.25">
      <c r="B3" s="406">
        <v>1</v>
      </c>
      <c r="C3" s="379" t="s">
        <v>748</v>
      </c>
      <c r="D3" s="407" t="s">
        <v>749</v>
      </c>
      <c r="E3" s="408" t="s">
        <v>750</v>
      </c>
      <c r="F3" s="408">
        <v>2011</v>
      </c>
      <c r="G3" s="385" t="s">
        <v>751</v>
      </c>
      <c r="H3" s="407"/>
      <c r="I3" s="407"/>
      <c r="J3" s="381"/>
      <c r="K3" s="408" t="s">
        <v>752</v>
      </c>
      <c r="L3" s="408" t="s">
        <v>753</v>
      </c>
      <c r="M3" s="421" t="s">
        <v>754</v>
      </c>
    </row>
    <row r="4" spans="2:13" x14ac:dyDescent="0.25">
      <c r="B4" s="409">
        <v>2</v>
      </c>
      <c r="C4" s="361" t="s">
        <v>755</v>
      </c>
      <c r="D4" s="410" t="s">
        <v>749</v>
      </c>
      <c r="E4" s="20" t="s">
        <v>756</v>
      </c>
      <c r="F4" s="20">
        <v>2014</v>
      </c>
      <c r="G4" s="411" t="s">
        <v>757</v>
      </c>
      <c r="H4" s="410" t="s">
        <v>758</v>
      </c>
      <c r="I4" s="410" t="s">
        <v>759</v>
      </c>
      <c r="J4" s="363"/>
      <c r="K4" s="412" t="s">
        <v>760</v>
      </c>
      <c r="L4" s="20" t="s">
        <v>753</v>
      </c>
      <c r="M4" s="422" t="s">
        <v>168</v>
      </c>
    </row>
    <row r="5" spans="2:13" x14ac:dyDescent="0.25">
      <c r="B5" s="409">
        <v>3</v>
      </c>
      <c r="C5" s="361" t="s">
        <v>761</v>
      </c>
      <c r="D5" s="410" t="s">
        <v>749</v>
      </c>
      <c r="E5" s="20" t="s">
        <v>756</v>
      </c>
      <c r="F5" s="20">
        <v>2014</v>
      </c>
      <c r="G5" s="411" t="s">
        <v>757</v>
      </c>
      <c r="H5" s="410" t="s">
        <v>762</v>
      </c>
      <c r="I5" s="410" t="s">
        <v>763</v>
      </c>
      <c r="J5" s="363"/>
      <c r="K5" s="412" t="s">
        <v>764</v>
      </c>
      <c r="L5" s="20" t="s">
        <v>753</v>
      </c>
      <c r="M5" s="422" t="s">
        <v>765</v>
      </c>
    </row>
    <row r="6" spans="2:13" x14ac:dyDescent="0.25">
      <c r="B6" s="409">
        <v>4</v>
      </c>
      <c r="C6" s="361" t="s">
        <v>766</v>
      </c>
      <c r="D6" s="410" t="s">
        <v>749</v>
      </c>
      <c r="E6" s="20" t="s">
        <v>756</v>
      </c>
      <c r="F6" s="20">
        <v>2019</v>
      </c>
      <c r="G6" s="411" t="s">
        <v>767</v>
      </c>
      <c r="H6" s="410" t="s">
        <v>758</v>
      </c>
      <c r="I6" s="410" t="s">
        <v>768</v>
      </c>
      <c r="J6" s="363">
        <v>15885</v>
      </c>
      <c r="K6" s="20" t="s">
        <v>769</v>
      </c>
      <c r="L6" s="20" t="s">
        <v>753</v>
      </c>
      <c r="M6" s="422" t="s">
        <v>168</v>
      </c>
    </row>
    <row r="7" spans="2:13" x14ac:dyDescent="0.25">
      <c r="B7" s="409">
        <v>5</v>
      </c>
      <c r="C7" s="361" t="s">
        <v>770</v>
      </c>
      <c r="D7" s="410" t="s">
        <v>749</v>
      </c>
      <c r="E7" s="20" t="s">
        <v>771</v>
      </c>
      <c r="F7" s="20">
        <v>2022</v>
      </c>
      <c r="G7" s="411" t="s">
        <v>751</v>
      </c>
      <c r="H7" s="410" t="s">
        <v>758</v>
      </c>
      <c r="I7" s="410" t="s">
        <v>772</v>
      </c>
      <c r="J7" s="363">
        <v>15883</v>
      </c>
      <c r="K7" s="413" t="s">
        <v>773</v>
      </c>
      <c r="L7" s="20" t="s">
        <v>753</v>
      </c>
      <c r="M7" s="422" t="s">
        <v>168</v>
      </c>
    </row>
    <row r="8" spans="2:13" x14ac:dyDescent="0.25">
      <c r="B8" s="409">
        <v>6</v>
      </c>
      <c r="C8" s="361" t="s">
        <v>774</v>
      </c>
      <c r="D8" s="410" t="s">
        <v>749</v>
      </c>
      <c r="E8" s="414" t="s">
        <v>775</v>
      </c>
      <c r="F8" s="20">
        <v>2022</v>
      </c>
      <c r="G8" s="411" t="s">
        <v>767</v>
      </c>
      <c r="H8" s="410" t="s">
        <v>776</v>
      </c>
      <c r="I8" s="410" t="s">
        <v>777</v>
      </c>
      <c r="J8" s="363">
        <v>15887</v>
      </c>
      <c r="K8" s="412" t="s">
        <v>778</v>
      </c>
      <c r="L8" s="20" t="s">
        <v>753</v>
      </c>
      <c r="M8" s="422" t="s">
        <v>168</v>
      </c>
    </row>
    <row r="9" spans="2:13" ht="15.75" thickBot="1" x14ac:dyDescent="0.3">
      <c r="B9" s="415">
        <v>7</v>
      </c>
      <c r="C9" s="391" t="s">
        <v>779</v>
      </c>
      <c r="D9" s="416" t="s">
        <v>749</v>
      </c>
      <c r="E9" s="417" t="s">
        <v>775</v>
      </c>
      <c r="F9" s="43">
        <v>2022</v>
      </c>
      <c r="G9" s="418" t="s">
        <v>767</v>
      </c>
      <c r="H9" s="416" t="s">
        <v>776</v>
      </c>
      <c r="I9" s="416" t="s">
        <v>780</v>
      </c>
      <c r="J9" s="393">
        <v>15886</v>
      </c>
      <c r="K9" s="419" t="s">
        <v>781</v>
      </c>
      <c r="L9" s="43" t="s">
        <v>753</v>
      </c>
      <c r="M9" s="42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 Actualizacion</vt:lpstr>
      <vt:lpstr>cctv</vt:lpstr>
      <vt:lpstr>Alarmas OSZFORD</vt:lpstr>
      <vt:lpstr>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Seguridad Perimetral</dc:creator>
  <cp:lastModifiedBy>Coordinador Seguridad Perimetral</cp:lastModifiedBy>
  <dcterms:created xsi:type="dcterms:W3CDTF">2026-08-20T13:51:36Z</dcterms:created>
  <dcterms:modified xsi:type="dcterms:W3CDTF">2026-08-20T14:06:05Z</dcterms:modified>
</cp:coreProperties>
</file>