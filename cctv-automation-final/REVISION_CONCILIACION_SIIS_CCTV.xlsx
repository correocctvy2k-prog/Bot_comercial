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hnathan.beltran\.gemini\antigravity\playground\final-skylab\cctv-automation-final\"/>
    </mc:Choice>
  </mc:AlternateContent>
  <xr:revisionPtr revIDLastSave="0" documentId="13_ncr:1_{F4657C5B-96F2-4F6A-A8B0-24677439F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ion" sheetId="1" r:id="rId1"/>
    <sheet name="Instrucciones" sheetId="2" r:id="rId2"/>
    <sheet name="Catalog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E7" i="2"/>
  <c r="C7" i="2"/>
  <c r="A7" i="2"/>
</calcChain>
</file>

<file path=xl/sharedStrings.xml><?xml version="1.0" encoding="utf-8"?>
<sst xmlns="http://schemas.openxmlformats.org/spreadsheetml/2006/main" count="632" uniqueCount="344">
  <si>
    <t>Revisión de conciliación SIIS · CCTV</t>
  </si>
  <si>
    <t>Completar las columnas verdes. No cambies los datos de evidencia; cada decisión será importada y auditada.</t>
  </si>
  <si>
    <t>ID caso</t>
  </si>
  <si>
    <t>Tipo pendiente</t>
  </si>
  <si>
    <t>Código SIIS</t>
  </si>
  <si>
    <t>Estado SIIS</t>
  </si>
  <si>
    <t>Nombre SIIS</t>
  </si>
  <si>
    <t>Nombre mantenimiento</t>
  </si>
  <si>
    <t>Zona</t>
  </si>
  <si>
    <t>Nombre inventario</t>
  </si>
  <si>
    <t>Método inventario</t>
  </si>
  <si>
    <t>Confianza</t>
  </si>
  <si>
    <t>Device ID DSS sugerido</t>
  </si>
  <si>
    <t>Modelo DSS sugerido</t>
  </si>
  <si>
    <t>Decisión</t>
  </si>
  <si>
    <t>Nombre canónico aprobado</t>
  </si>
  <si>
    <t>Código SIIS corregido</t>
  </si>
  <si>
    <t>Observaciones</t>
  </si>
  <si>
    <t>Revisado por</t>
  </si>
  <si>
    <t>Fecha revisión</t>
  </si>
  <si>
    <t>REV-001</t>
  </si>
  <si>
    <t>ALIAS_INVENTARIO</t>
  </si>
  <si>
    <t>1672</t>
  </si>
  <si>
    <t>EN_LINEA</t>
  </si>
  <si>
    <t>GALERIA (CAND)</t>
  </si>
  <si>
    <t>GaleriaCande</t>
  </si>
  <si>
    <t>CANDELARIA</t>
  </si>
  <si>
    <t>Galeria Cande</t>
  </si>
  <si>
    <t>CURATED_ALIAS_CANDIDATE</t>
  </si>
  <si>
    <t>1000103</t>
  </si>
  <si>
    <t>DHI-NVR4208-8P-4KS2</t>
  </si>
  <si>
    <t>PENDIENTE</t>
  </si>
  <si>
    <t>REV-002</t>
  </si>
  <si>
    <t>1693</t>
  </si>
  <si>
    <t>CALLE CENTRAL EL CARMELO</t>
  </si>
  <si>
    <t>Oficina Carmelo</t>
  </si>
  <si>
    <t>NO_CANDIDATE</t>
  </si>
  <si>
    <t>REV-003</t>
  </si>
  <si>
    <t>1743</t>
  </si>
  <si>
    <t>FANNY ROMERO POBLADO</t>
  </si>
  <si>
    <t>Fanny Romero Ofi poblado</t>
  </si>
  <si>
    <t>Fanny Romero - Ppal poblado</t>
  </si>
  <si>
    <t>FUZZY_SUGGESTION</t>
  </si>
  <si>
    <t>1000073</t>
  </si>
  <si>
    <t>DHI-NVR4232-4KS2</t>
  </si>
  <si>
    <t>REV-004</t>
  </si>
  <si>
    <t>CODIGO_AUSENTE_EN_SIIS</t>
  </si>
  <si>
    <t>1975</t>
  </si>
  <si>
    <t>NO_DEVUELTO_POR_SIIS</t>
  </si>
  <si>
    <t>Ofi ppa Amaime</t>
  </si>
  <si>
    <t>Amaime</t>
  </si>
  <si>
    <t>Oficina Amaime</t>
  </si>
  <si>
    <t>1000037</t>
  </si>
  <si>
    <t>DHI-HCVR5108HS-53</t>
  </si>
  <si>
    <t>REV-005</t>
  </si>
  <si>
    <t>1978</t>
  </si>
  <si>
    <t>Oficina Rozo</t>
  </si>
  <si>
    <t>ROZO</t>
  </si>
  <si>
    <t>EXACT_NORMALIZED</t>
  </si>
  <si>
    <t>1000042</t>
  </si>
  <si>
    <t>DHI-NVR4216-16P-4KS2</t>
  </si>
  <si>
    <t>REV-006</t>
  </si>
  <si>
    <t>1979</t>
  </si>
  <si>
    <t>Oficina Candelaria</t>
  </si>
  <si>
    <t>1000153</t>
  </si>
  <si>
    <t>DHI-NVR5232-E1</t>
  </si>
  <si>
    <t>REV-007</t>
  </si>
  <si>
    <t>1981</t>
  </si>
  <si>
    <t>Ofippal Florida - La octava</t>
  </si>
  <si>
    <t>FLORIDA</t>
  </si>
  <si>
    <t>La Octava</t>
  </si>
  <si>
    <t>1000157</t>
  </si>
  <si>
    <t>REV-008</t>
  </si>
  <si>
    <t>2034</t>
  </si>
  <si>
    <t>MANHATAN</t>
  </si>
  <si>
    <t>Billares Manhantan</t>
  </si>
  <si>
    <t>PRADERA</t>
  </si>
  <si>
    <t>Manhantan</t>
  </si>
  <si>
    <t>1000098</t>
  </si>
  <si>
    <t>REV-009</t>
  </si>
  <si>
    <t>2039</t>
  </si>
  <si>
    <t>OFICINA PRINCIPAL PRADERA</t>
  </si>
  <si>
    <t>OficinaPPalPradera</t>
  </si>
  <si>
    <t>REV-010</t>
  </si>
  <si>
    <t>2073</t>
  </si>
  <si>
    <t>PARQUE</t>
  </si>
  <si>
    <t>Ant PpalFlorida</t>
  </si>
  <si>
    <t>Antigua Ppal Florida</t>
  </si>
  <si>
    <t>1000057, 1000152</t>
  </si>
  <si>
    <t>DHI-NVR4108HS-EI, DH-IPC-HDBW3441E-AS-S2</t>
  </si>
  <si>
    <t>REV-011</t>
  </si>
  <si>
    <t>2081</t>
  </si>
  <si>
    <t>DON LIBARDO</t>
  </si>
  <si>
    <t>Libardo</t>
  </si>
  <si>
    <t>Libardo DVR</t>
  </si>
  <si>
    <t>1000130</t>
  </si>
  <si>
    <t>REV-012</t>
  </si>
  <si>
    <t>2138</t>
  </si>
  <si>
    <t>CRUCERO GUANABANAL</t>
  </si>
  <si>
    <t>Guanabanal</t>
  </si>
  <si>
    <t>OCCIDENTE</t>
  </si>
  <si>
    <t>Crucero guanabanal</t>
  </si>
  <si>
    <t>1000032</t>
  </si>
  <si>
    <t>REV-013</t>
  </si>
  <si>
    <t>2153</t>
  </si>
  <si>
    <t>LA HERRADURA</t>
  </si>
  <si>
    <t>La Herradura</t>
  </si>
  <si>
    <t>Herradura CAM IP</t>
  </si>
  <si>
    <t>REV-014</t>
  </si>
  <si>
    <t>2165</t>
  </si>
  <si>
    <t>AMAIME I</t>
  </si>
  <si>
    <t>Amaime1</t>
  </si>
  <si>
    <t>Amaime1 - ok horario</t>
  </si>
  <si>
    <t>1000038</t>
  </si>
  <si>
    <t>DHI-NVR4208-4KS2</t>
  </si>
  <si>
    <t>REV-015</t>
  </si>
  <si>
    <t>2199</t>
  </si>
  <si>
    <t>LOS PARRALES</t>
  </si>
  <si>
    <t>Los Parrales</t>
  </si>
  <si>
    <t>Los Parrales CAM IP</t>
  </si>
  <si>
    <t>REV-016</t>
  </si>
  <si>
    <t>2214</t>
  </si>
  <si>
    <t>LA CIGARRA</t>
  </si>
  <si>
    <t>Cigarra</t>
  </si>
  <si>
    <t>PALMIRA</t>
  </si>
  <si>
    <t>HapLite Cigarra</t>
  </si>
  <si>
    <t>1000158</t>
  </si>
  <si>
    <t>DHI-NVR5208-EI2</t>
  </si>
  <si>
    <t>REV-017</t>
  </si>
  <si>
    <t>2220</t>
  </si>
  <si>
    <t>OFICINA PRINCIPAL</t>
  </si>
  <si>
    <t>OfiPpalPalmira</t>
  </si>
  <si>
    <t>REV-018</t>
  </si>
  <si>
    <t>2242</t>
  </si>
  <si>
    <t>CARREFOUR METRO</t>
  </si>
  <si>
    <t>Carrefour Metro</t>
  </si>
  <si>
    <t>CC Carrefour Metro</t>
  </si>
  <si>
    <t>1000020</t>
  </si>
  <si>
    <t>DHI-NVR2208-8P-4KS2</t>
  </si>
  <si>
    <t>REV-019</t>
  </si>
  <si>
    <t>2306</t>
  </si>
  <si>
    <t>LLANO GRANDE PLAZA</t>
  </si>
  <si>
    <t>CC Llanogrande</t>
  </si>
  <si>
    <t>CC Llanogrande plaza</t>
  </si>
  <si>
    <t>1000008</t>
  </si>
  <si>
    <t>REV-020</t>
  </si>
  <si>
    <t>2316</t>
  </si>
  <si>
    <t>PANADERIA FRAY LUIS AMIGO</t>
  </si>
  <si>
    <t>Frai Luis</t>
  </si>
  <si>
    <t>Fray Luis (Evento botón de pánico)</t>
  </si>
  <si>
    <t>1000017</t>
  </si>
  <si>
    <t>REV-021</t>
  </si>
  <si>
    <t>2351</t>
  </si>
  <si>
    <t>ZAMORANO III</t>
  </si>
  <si>
    <t>Zamorano III</t>
  </si>
  <si>
    <t>ZamoranoIII</t>
  </si>
  <si>
    <t>1000052</t>
  </si>
  <si>
    <t>REV-022</t>
  </si>
  <si>
    <t>2387</t>
  </si>
  <si>
    <t>FUERA_DE_LINEA</t>
  </si>
  <si>
    <t>SUPER MARDEN LA 47</t>
  </si>
  <si>
    <t>Marden la 47</t>
  </si>
  <si>
    <t>Mardenla47</t>
  </si>
  <si>
    <t>1000043</t>
  </si>
  <si>
    <t>REV-023</t>
  </si>
  <si>
    <t>2413</t>
  </si>
  <si>
    <t>PORTAL DE LAS PALMAS III</t>
  </si>
  <si>
    <t>Portal Palmas III</t>
  </si>
  <si>
    <t>PPalmasIII</t>
  </si>
  <si>
    <t>1000048</t>
  </si>
  <si>
    <t>REV-024</t>
  </si>
  <si>
    <t>2422</t>
  </si>
  <si>
    <t>LA 19 CON 35</t>
  </si>
  <si>
    <t>La 19 con 35 NVR</t>
  </si>
  <si>
    <t>La 19 con 35 - ok horario DHI-NVR5208-EI</t>
  </si>
  <si>
    <t>1000009</t>
  </si>
  <si>
    <t>DHI-NVR5208-EI</t>
  </si>
  <si>
    <t>REV-025</t>
  </si>
  <si>
    <t>2682</t>
  </si>
  <si>
    <t>LAS AMERICAS FLORIDA</t>
  </si>
  <si>
    <t>Las Americas</t>
  </si>
  <si>
    <t>Americas</t>
  </si>
  <si>
    <t>1000109</t>
  </si>
  <si>
    <t>REV-026</t>
  </si>
  <si>
    <t>2739</t>
  </si>
  <si>
    <t>ANTIGUA PRINCIPAL ROZO</t>
  </si>
  <si>
    <t>Ant Principal</t>
  </si>
  <si>
    <t>CONTEO PRINCIPAL</t>
  </si>
  <si>
    <t>1000004</t>
  </si>
  <si>
    <t>DHI-NVR4416-4KS2</t>
  </si>
  <si>
    <t>REV-027</t>
  </si>
  <si>
    <t>2923</t>
  </si>
  <si>
    <t>PIKOS II</t>
  </si>
  <si>
    <t>Pikos II</t>
  </si>
  <si>
    <t>Pikos (IPC-3441E + NVR)</t>
  </si>
  <si>
    <t>1000035</t>
  </si>
  <si>
    <t>DHI-NVR4108HS-EI</t>
  </si>
  <si>
    <t>REV-028</t>
  </si>
  <si>
    <t>3044</t>
  </si>
  <si>
    <t>PANCHINITA II</t>
  </si>
  <si>
    <t>Panchinita_24.201</t>
  </si>
  <si>
    <t>Panchinita</t>
  </si>
  <si>
    <t>1000056</t>
  </si>
  <si>
    <t>REV-029</t>
  </si>
  <si>
    <t>3054</t>
  </si>
  <si>
    <t>ANTIGUA PPAL II</t>
  </si>
  <si>
    <t>Antigua principal</t>
  </si>
  <si>
    <t>REV-030</t>
  </si>
  <si>
    <t>3087</t>
  </si>
  <si>
    <t>Caja Agraria</t>
  </si>
  <si>
    <t>1000124</t>
  </si>
  <si>
    <t>DHI-NVR4216-4KS2/L</t>
  </si>
  <si>
    <t>REV-031</t>
  </si>
  <si>
    <t>3169</t>
  </si>
  <si>
    <t>MARIACANO</t>
  </si>
  <si>
    <t>Mariacano</t>
  </si>
  <si>
    <t>Maricano</t>
  </si>
  <si>
    <t>1000053</t>
  </si>
  <si>
    <t>REV-032</t>
  </si>
  <si>
    <t>3195</t>
  </si>
  <si>
    <t>AVENIDA CCAMPO</t>
  </si>
  <si>
    <t>Oficina Ciudad Campo</t>
  </si>
  <si>
    <t>Ciudad Campo</t>
  </si>
  <si>
    <t>1000071</t>
  </si>
  <si>
    <t>REV-033</t>
  </si>
  <si>
    <t>3208</t>
  </si>
  <si>
    <t>URIBE</t>
  </si>
  <si>
    <t>Uribe</t>
  </si>
  <si>
    <t>Tienda Uribe</t>
  </si>
  <si>
    <t>1000151</t>
  </si>
  <si>
    <t>DHI-NVR4208-4KS2/L</t>
  </si>
  <si>
    <t>REV-034</t>
  </si>
  <si>
    <t>3290</t>
  </si>
  <si>
    <t>CALLE COMERCIO</t>
  </si>
  <si>
    <t>Calle Comercio K35</t>
  </si>
  <si>
    <t>Calle Comercio(K35)</t>
  </si>
  <si>
    <t>1000161</t>
  </si>
  <si>
    <t>IPC-K35</t>
  </si>
  <si>
    <t>REV-035</t>
  </si>
  <si>
    <t>3333</t>
  </si>
  <si>
    <t>PARQUEADERO PARQUE BOLIVAR</t>
  </si>
  <si>
    <t>ParqueBolivar</t>
  </si>
  <si>
    <t>ParqueBolivarCajas</t>
  </si>
  <si>
    <t>1000012, 1000138, 1000140, 1000143, 1000155, 1000167</t>
  </si>
  <si>
    <t>DHI-NVR4232-4KS2, ITC415-PW6M-IZ-C2, DHI-NVR4232-4KS2/L</t>
  </si>
  <si>
    <t>REV-036</t>
  </si>
  <si>
    <t>3717</t>
  </si>
  <si>
    <t>LA ESMERALDA FLORIDA</t>
  </si>
  <si>
    <t>Esmeralda</t>
  </si>
  <si>
    <t>EsmeraldaFlorida</t>
  </si>
  <si>
    <t>1000100</t>
  </si>
  <si>
    <t>REV-037</t>
  </si>
  <si>
    <t>3739</t>
  </si>
  <si>
    <t>Galeria</t>
  </si>
  <si>
    <t>1000030</t>
  </si>
  <si>
    <t>REV-038</t>
  </si>
  <si>
    <t>3761</t>
  </si>
  <si>
    <t>PARQUEADERO EL GANADOR</t>
  </si>
  <si>
    <t>Parqueadero Ganador</t>
  </si>
  <si>
    <t>Punto Parqueadero Ganador (Alarma Dahua)</t>
  </si>
  <si>
    <t>1000014</t>
  </si>
  <si>
    <t>REV-039</t>
  </si>
  <si>
    <t>3762</t>
  </si>
  <si>
    <t>LA BUITRERA</t>
  </si>
  <si>
    <t>Buitrera</t>
  </si>
  <si>
    <t>LaBuitrera</t>
  </si>
  <si>
    <t>1000034</t>
  </si>
  <si>
    <t>REV-040</t>
  </si>
  <si>
    <t>3774</t>
  </si>
  <si>
    <t>19 CON 33</t>
  </si>
  <si>
    <t>19 con 33</t>
  </si>
  <si>
    <t>La 19 con 33</t>
  </si>
  <si>
    <t>1000178</t>
  </si>
  <si>
    <t>DHI-NVR5208-E</t>
  </si>
  <si>
    <t>REV-041</t>
  </si>
  <si>
    <t>3863</t>
  </si>
  <si>
    <t>EL SAMAN GORGONA V.GORG</t>
  </si>
  <si>
    <t>El saman VG</t>
  </si>
  <si>
    <t>Samán</t>
  </si>
  <si>
    <t>1000074</t>
  </si>
  <si>
    <t>REV-042</t>
  </si>
  <si>
    <t>3951</t>
  </si>
  <si>
    <t>IGLESIA V.GORGONA</t>
  </si>
  <si>
    <t>Iglesia Villagorgona</t>
  </si>
  <si>
    <t>Iglesia</t>
  </si>
  <si>
    <t>1000166</t>
  </si>
  <si>
    <t>REV-043</t>
  </si>
  <si>
    <t>4079</t>
  </si>
  <si>
    <t>LA COLINA 2</t>
  </si>
  <si>
    <t>La colina Pradera</t>
  </si>
  <si>
    <t>La colina</t>
  </si>
  <si>
    <t>1000168</t>
  </si>
  <si>
    <t>REV-044</t>
  </si>
  <si>
    <t>4115</t>
  </si>
  <si>
    <t>LA VIRGEN V.GORGONA</t>
  </si>
  <si>
    <t>La Virgen Villa Gorgona</t>
  </si>
  <si>
    <t>La Virgen Villagorgona</t>
  </si>
  <si>
    <t>1000159</t>
  </si>
  <si>
    <t>REV-045</t>
  </si>
  <si>
    <t>4139</t>
  </si>
  <si>
    <t>OLIMPICO III</t>
  </si>
  <si>
    <t>Olimpico III</t>
  </si>
  <si>
    <t>OLIMPICO 3</t>
  </si>
  <si>
    <t>Guía de revisión</t>
  </si>
  <si>
    <t>Este archivo contiene 39 alias con código confirmado y 6 códigos que SIIS no devolvió. La identidad se decide por conocimiento operativo, no por similitud automática.</t>
  </si>
  <si>
    <t>RESUMEN</t>
  </si>
  <si>
    <t>Casos accionables</t>
  </si>
  <si>
    <t>Alias por revisar</t>
  </si>
  <si>
    <t>Códigos ausentes</t>
  </si>
  <si>
    <t>Decisiones pendientes</t>
  </si>
  <si>
    <t>DECISIONES Y CUÁNDO USARLAS</t>
  </si>
  <si>
    <t>MISMO_PUNTO</t>
  </si>
  <si>
    <t>Las tres fuentes representan el mismo lugar. Completa el nombre canónico.</t>
  </si>
  <si>
    <t>PUNTO_DIFERENTE</t>
  </si>
  <si>
    <t>El candidato del inventario corresponde a otro lugar. Explica en Observaciones.</t>
  </si>
  <si>
    <t>CODIGO_CAMBIO</t>
  </si>
  <si>
    <t>El punto sigue vigente, pero debe usarse otro código SIIS. Completa Código SIIS corregido.</t>
  </si>
  <si>
    <t>PUNTO_CERRADO</t>
  </si>
  <si>
    <t>El punto ya no opera. Registra la evidencia o fecha conocida en Observaciones.</t>
  </si>
  <si>
    <t>REQUIERE_VERIFICACION</t>
  </si>
  <si>
    <t>No hay información suficiente para decidir con seguridad.</t>
  </si>
  <si>
    <t>Todavía no revisado. El archivo no se importará como decisión final.</t>
  </si>
  <si>
    <t>PASOS</t>
  </si>
  <si>
    <t>1</t>
  </si>
  <si>
    <t>Abre la hoja Revision y filtra por Tipo pendiente o Zona.</t>
  </si>
  <si>
    <t>2</t>
  </si>
  <si>
    <t>Selecciona una Decisión en cada fila y completa los campos verdes aplicables.</t>
  </si>
  <si>
    <t>3</t>
  </si>
  <si>
    <t>Para MISMO_PUNTO escribe el nombre que quieres ver en Skylab.</t>
  </si>
  <si>
    <t>4</t>
  </si>
  <si>
    <t>Guarda el archivo sin cambiar el nombre ni eliminar columnas.</t>
  </si>
  <si>
    <t>Catálogos</t>
  </si>
  <si>
    <t>Valores controlados usados por las listas de revisión.</t>
  </si>
  <si>
    <t>DECISION</t>
  </si>
  <si>
    <t>SIGNIFICADO</t>
  </si>
  <si>
    <t>REQUIERE</t>
  </si>
  <si>
    <t>Sin revisar</t>
  </si>
  <si>
    <t>Las fuentes representan el mismo lugar</t>
  </si>
  <si>
    <t>Nombre canónico</t>
  </si>
  <si>
    <t>El candidato pertenece a otro lugar</t>
  </si>
  <si>
    <t>El punto utiliza otro código SIIS</t>
  </si>
  <si>
    <t>Código corregido</t>
  </si>
  <si>
    <t>El punto dejó de operar</t>
  </si>
  <si>
    <t>No hay evidencia 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</si>
</sst>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8"/>
      <color rgb="FFFFFFFF"/>
      <name val="Carlito"/>
    </font>
    <font>
      <i/>
      <sz val="10"/>
      <color rgb="FF64748B"/>
      <name val="Carlito"/>
    </font>
    <font>
      <b/>
      <sz val="11"/>
      <color rgb="FFFFFFFF"/>
      <name val="Carlito"/>
    </font>
    <font>
      <b/>
      <sz val="11"/>
      <color rgb="FF64748B"/>
      <name val="Carlito"/>
    </font>
    <font>
      <b/>
      <sz val="18"/>
      <color rgb="FF15324A"/>
      <name val="Carlito"/>
    </font>
    <font>
      <b/>
      <sz val="11"/>
      <color rgb="FF15324A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5324A"/>
      </patternFill>
    </fill>
    <fill>
      <patternFill patternType="solid">
        <fgColor rgb="FFE8F1F5"/>
      </patternFill>
    </fill>
    <fill>
      <patternFill patternType="solid">
        <fgColor rgb="FF0F766E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0" fontId="0" fillId="5" borderId="0" xfId="0" applyFill="1" applyAlignment="1">
      <alignment vertical="top" wrapText="1"/>
    </xf>
    <xf numFmtId="164" fontId="0" fillId="5" borderId="0" xfId="0" applyNumberFormat="1" applyFill="1" applyAlignment="1">
      <alignment vertical="top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visionSiis" displayName="tblRevisionSiis" ref="A4:R49" totalsRowShown="0">
  <tableColumns count="18">
    <tableColumn id="1" xr3:uid="{00000000-0010-0000-0000-000001000000}" name="ID caso"/>
    <tableColumn id="2" xr3:uid="{00000000-0010-0000-0000-000002000000}" name="Tipo pendiente"/>
    <tableColumn id="3" xr3:uid="{00000000-0010-0000-0000-000003000000}" name="Código SIIS"/>
    <tableColumn id="4" xr3:uid="{00000000-0010-0000-0000-000004000000}" name="Estado SIIS"/>
    <tableColumn id="5" xr3:uid="{00000000-0010-0000-0000-000005000000}" name="Nombre SIIS"/>
    <tableColumn id="6" xr3:uid="{00000000-0010-0000-0000-000006000000}" name="Nombre mantenimiento"/>
    <tableColumn id="7" xr3:uid="{00000000-0010-0000-0000-000007000000}" name="Zona"/>
    <tableColumn id="8" xr3:uid="{00000000-0010-0000-0000-000008000000}" name="Nombre inventario"/>
    <tableColumn id="9" xr3:uid="{00000000-0010-0000-0000-000009000000}" name="Método inventario"/>
    <tableColumn id="10" xr3:uid="{00000000-0010-0000-0000-00000A000000}" name="Confianza"/>
    <tableColumn id="11" xr3:uid="{00000000-0010-0000-0000-00000B000000}" name="Device ID DSS sugerido"/>
    <tableColumn id="12" xr3:uid="{00000000-0010-0000-0000-00000C000000}" name="Modelo DSS sugerido"/>
    <tableColumn id="13" xr3:uid="{00000000-0010-0000-0000-00000D000000}" name="Decisión"/>
    <tableColumn id="14" xr3:uid="{00000000-0010-0000-0000-00000E000000}" name="Nombre canónico aprobado"/>
    <tableColumn id="15" xr3:uid="{00000000-0010-0000-0000-00000F000000}" name="Código SIIS corregido"/>
    <tableColumn id="16" xr3:uid="{00000000-0010-0000-0000-000010000000}" name="Observaciones"/>
    <tableColumn id="17" xr3:uid="{00000000-0010-0000-0000-000011000000}" name="Revisado por"/>
    <tableColumn id="18" xr3:uid="{00000000-0010-0000-0000-000012000000}" name="Fecha revis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atalogoDecisiones" displayName="tblCatalogoDecisiones" ref="A4:C10" totalsRowShown="0">
  <tableColumns count="3">
    <tableColumn id="1" xr3:uid="{00000000-0010-0000-0100-000001000000}" name="DECISION"/>
    <tableColumn id="2" xr3:uid="{00000000-0010-0000-0100-000002000000}" name="SIGNIFICADO"/>
    <tableColumn id="3" xr3:uid="{00000000-0010-0000-0100-000003000000}" name="REQUIE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showGridLines="0" tabSelected="1" topLeftCell="F1" workbookViewId="0">
      <selection activeCell="O35" sqref="O35"/>
    </sheetView>
  </sheetViews>
  <sheetFormatPr baseColWidth="10" defaultColWidth="9" defaultRowHeight="14.25"/>
  <cols>
    <col min="1" max="1" width="12" customWidth="1"/>
    <col min="2" max="2" width="29.25" customWidth="1"/>
    <col min="3" max="3" width="11.25" bestFit="1" customWidth="1"/>
    <col min="4" max="4" width="24.125" customWidth="1"/>
    <col min="5" max="6" width="30" customWidth="1"/>
    <col min="7" max="7" width="14" customWidth="1"/>
    <col min="8" max="8" width="30" customWidth="1"/>
    <col min="9" max="9" width="27.25" customWidth="1"/>
    <col min="10" max="10" width="12" customWidth="1"/>
    <col min="11" max="11" width="23" customWidth="1"/>
    <col min="12" max="12" width="22.375" customWidth="1"/>
    <col min="13" max="13" width="15.375" customWidth="1"/>
    <col min="14" max="14" width="31" customWidth="1"/>
    <col min="15" max="15" width="21" customWidth="1"/>
    <col min="16" max="16" width="38" customWidth="1"/>
    <col min="17" max="17" width="18" customWidth="1"/>
    <col min="18" max="18" width="17" customWidth="1"/>
  </cols>
  <sheetData>
    <row r="1" spans="1:18" ht="33.950000000000003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32.1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4" spans="1:18" ht="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ht="28.5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6">
        <v>0.99</v>
      </c>
      <c r="K5" s="5" t="s">
        <v>29</v>
      </c>
      <c r="L5" s="5" t="s">
        <v>30</v>
      </c>
      <c r="M5" s="7" t="s">
        <v>311</v>
      </c>
      <c r="N5" s="7" t="s">
        <v>24</v>
      </c>
      <c r="O5" s="7"/>
      <c r="P5" s="7"/>
      <c r="Q5" s="7"/>
      <c r="R5" s="8"/>
    </row>
    <row r="6" spans="1:18" ht="28.5">
      <c r="A6" s="5" t="s">
        <v>32</v>
      </c>
      <c r="B6" s="5" t="s">
        <v>21</v>
      </c>
      <c r="C6" s="5" t="s">
        <v>33</v>
      </c>
      <c r="D6" s="5" t="s">
        <v>23</v>
      </c>
      <c r="E6" s="5" t="s">
        <v>34</v>
      </c>
      <c r="F6" s="5" t="s">
        <v>35</v>
      </c>
      <c r="G6" s="5" t="s">
        <v>26</v>
      </c>
      <c r="H6" s="5"/>
      <c r="I6" s="5" t="s">
        <v>36</v>
      </c>
      <c r="J6" s="6">
        <v>0.66666666666666674</v>
      </c>
      <c r="K6" s="5"/>
      <c r="L6" s="5"/>
      <c r="M6" s="7" t="s">
        <v>311</v>
      </c>
      <c r="N6" s="7" t="s">
        <v>34</v>
      </c>
      <c r="O6" s="7"/>
      <c r="P6" s="7"/>
      <c r="Q6" s="7"/>
      <c r="R6" s="8"/>
    </row>
    <row r="7" spans="1:18">
      <c r="A7" s="5" t="s">
        <v>37</v>
      </c>
      <c r="B7" s="5" t="s">
        <v>21</v>
      </c>
      <c r="C7" s="5" t="s">
        <v>38</v>
      </c>
      <c r="D7" s="5" t="s">
        <v>23</v>
      </c>
      <c r="E7" s="5" t="s">
        <v>39</v>
      </c>
      <c r="F7" s="5" t="s">
        <v>40</v>
      </c>
      <c r="G7" s="5" t="s">
        <v>26</v>
      </c>
      <c r="H7" s="5" t="s">
        <v>41</v>
      </c>
      <c r="I7" s="5" t="s">
        <v>42</v>
      </c>
      <c r="J7" s="6">
        <v>1</v>
      </c>
      <c r="K7" s="5" t="s">
        <v>43</v>
      </c>
      <c r="L7" s="5" t="s">
        <v>44</v>
      </c>
      <c r="M7" s="7" t="s">
        <v>311</v>
      </c>
      <c r="N7" s="7" t="s">
        <v>40</v>
      </c>
      <c r="O7" s="7"/>
      <c r="P7" s="7"/>
      <c r="Q7" s="7"/>
      <c r="R7" s="8"/>
    </row>
    <row r="8" spans="1:18">
      <c r="A8" s="5" t="s">
        <v>45</v>
      </c>
      <c r="B8" s="5" t="s">
        <v>46</v>
      </c>
      <c r="C8" s="5" t="s">
        <v>47</v>
      </c>
      <c r="D8" s="5" t="s">
        <v>48</v>
      </c>
      <c r="E8" s="5"/>
      <c r="F8" s="5" t="s">
        <v>49</v>
      </c>
      <c r="G8" s="5" t="s">
        <v>50</v>
      </c>
      <c r="H8" s="5" t="s">
        <v>51</v>
      </c>
      <c r="I8" s="5" t="s">
        <v>42</v>
      </c>
      <c r="J8" s="6">
        <v>1</v>
      </c>
      <c r="K8" s="5" t="s">
        <v>52</v>
      </c>
      <c r="L8" s="5" t="s">
        <v>53</v>
      </c>
      <c r="M8" s="7" t="s">
        <v>311</v>
      </c>
      <c r="N8" s="7" t="s">
        <v>51</v>
      </c>
      <c r="O8" s="7"/>
      <c r="P8" s="7"/>
      <c r="Q8" s="7"/>
      <c r="R8" s="8"/>
    </row>
    <row r="9" spans="1:18">
      <c r="A9" s="5" t="s">
        <v>54</v>
      </c>
      <c r="B9" s="5" t="s">
        <v>46</v>
      </c>
      <c r="C9" s="5" t="s">
        <v>55</v>
      </c>
      <c r="D9" s="5" t="s">
        <v>48</v>
      </c>
      <c r="E9" s="5"/>
      <c r="F9" s="5" t="s">
        <v>56</v>
      </c>
      <c r="G9" s="5" t="s">
        <v>57</v>
      </c>
      <c r="H9" s="5" t="s">
        <v>56</v>
      </c>
      <c r="I9" s="5" t="s">
        <v>58</v>
      </c>
      <c r="J9" s="6">
        <v>1</v>
      </c>
      <c r="K9" s="5" t="s">
        <v>59</v>
      </c>
      <c r="L9" s="5" t="s">
        <v>60</v>
      </c>
      <c r="M9" s="7" t="s">
        <v>311</v>
      </c>
      <c r="N9" s="7" t="s">
        <v>56</v>
      </c>
      <c r="O9" s="7"/>
      <c r="P9" s="7"/>
      <c r="Q9" s="7"/>
      <c r="R9" s="8"/>
    </row>
    <row r="10" spans="1:18">
      <c r="A10" s="5" t="s">
        <v>61</v>
      </c>
      <c r="B10" s="5" t="s">
        <v>46</v>
      </c>
      <c r="C10" s="5" t="s">
        <v>62</v>
      </c>
      <c r="D10" s="5" t="s">
        <v>48</v>
      </c>
      <c r="E10" s="5"/>
      <c r="F10" s="5" t="s">
        <v>63</v>
      </c>
      <c r="G10" s="5" t="s">
        <v>26</v>
      </c>
      <c r="H10" s="5" t="s">
        <v>63</v>
      </c>
      <c r="I10" s="5" t="s">
        <v>58</v>
      </c>
      <c r="J10" s="6">
        <v>1</v>
      </c>
      <c r="K10" s="5" t="s">
        <v>64</v>
      </c>
      <c r="L10" s="5" t="s">
        <v>65</v>
      </c>
      <c r="M10" s="7" t="s">
        <v>311</v>
      </c>
      <c r="N10" s="7" t="s">
        <v>63</v>
      </c>
      <c r="O10" s="7"/>
      <c r="P10" s="7"/>
      <c r="Q10" s="7"/>
      <c r="R10" s="8"/>
    </row>
    <row r="11" spans="1:18">
      <c r="A11" s="5" t="s">
        <v>66</v>
      </c>
      <c r="B11" s="5" t="s">
        <v>46</v>
      </c>
      <c r="C11" s="5" t="s">
        <v>67</v>
      </c>
      <c r="D11" s="5" t="s">
        <v>48</v>
      </c>
      <c r="E11" s="5"/>
      <c r="F11" s="5" t="s">
        <v>68</v>
      </c>
      <c r="G11" s="5" t="s">
        <v>69</v>
      </c>
      <c r="H11" s="5" t="s">
        <v>70</v>
      </c>
      <c r="I11" s="5" t="s">
        <v>42</v>
      </c>
      <c r="J11" s="6">
        <v>1</v>
      </c>
      <c r="K11" s="5" t="s">
        <v>71</v>
      </c>
      <c r="L11" s="5" t="s">
        <v>60</v>
      </c>
      <c r="M11" s="7" t="s">
        <v>311</v>
      </c>
      <c r="N11" s="7" t="s">
        <v>68</v>
      </c>
      <c r="O11" s="7"/>
      <c r="P11" s="7"/>
      <c r="Q11" s="7"/>
      <c r="R11" s="8"/>
    </row>
    <row r="12" spans="1:18">
      <c r="A12" s="5" t="s">
        <v>72</v>
      </c>
      <c r="B12" s="5" t="s">
        <v>21</v>
      </c>
      <c r="C12" s="5" t="s">
        <v>73</v>
      </c>
      <c r="D12" s="5" t="s">
        <v>23</v>
      </c>
      <c r="E12" s="5" t="s">
        <v>74</v>
      </c>
      <c r="F12" s="5" t="s">
        <v>75</v>
      </c>
      <c r="G12" s="5" t="s">
        <v>76</v>
      </c>
      <c r="H12" s="5" t="s">
        <v>77</v>
      </c>
      <c r="I12" s="5" t="s">
        <v>42</v>
      </c>
      <c r="J12" s="6">
        <v>1</v>
      </c>
      <c r="K12" s="5" t="s">
        <v>78</v>
      </c>
      <c r="L12" s="5" t="s">
        <v>30</v>
      </c>
      <c r="M12" s="7" t="s">
        <v>311</v>
      </c>
      <c r="N12" s="7" t="s">
        <v>74</v>
      </c>
      <c r="O12" s="7"/>
      <c r="P12" s="7"/>
      <c r="Q12" s="7"/>
      <c r="R12" s="8"/>
    </row>
    <row r="13" spans="1:18">
      <c r="A13" s="5" t="s">
        <v>79</v>
      </c>
      <c r="B13" s="5" t="s">
        <v>21</v>
      </c>
      <c r="C13" s="5" t="s">
        <v>80</v>
      </c>
      <c r="D13" s="5" t="s">
        <v>23</v>
      </c>
      <c r="E13" s="5" t="s">
        <v>81</v>
      </c>
      <c r="F13" s="5" t="s">
        <v>82</v>
      </c>
      <c r="G13" s="5" t="s">
        <v>76</v>
      </c>
      <c r="H13" s="5"/>
      <c r="I13" s="5" t="s">
        <v>36</v>
      </c>
      <c r="J13" s="6">
        <v>0.56521739130434789</v>
      </c>
      <c r="K13" s="5"/>
      <c r="L13" s="5"/>
      <c r="M13" s="7" t="s">
        <v>311</v>
      </c>
      <c r="N13" s="7" t="s">
        <v>81</v>
      </c>
      <c r="O13" s="7"/>
      <c r="P13" s="7"/>
      <c r="Q13" s="7"/>
      <c r="R13" s="8"/>
    </row>
    <row r="14" spans="1:18" ht="28.5">
      <c r="A14" s="5" t="s">
        <v>83</v>
      </c>
      <c r="B14" s="5" t="s">
        <v>21</v>
      </c>
      <c r="C14" s="5" t="s">
        <v>84</v>
      </c>
      <c r="D14" s="5" t="s">
        <v>23</v>
      </c>
      <c r="E14" s="5" t="s">
        <v>85</v>
      </c>
      <c r="F14" s="5" t="s">
        <v>86</v>
      </c>
      <c r="G14" s="5" t="s">
        <v>69</v>
      </c>
      <c r="H14" s="5" t="s">
        <v>87</v>
      </c>
      <c r="I14" s="5" t="s">
        <v>42</v>
      </c>
      <c r="J14" s="6">
        <v>0.75</v>
      </c>
      <c r="K14" s="5" t="s">
        <v>88</v>
      </c>
      <c r="L14" s="5" t="s">
        <v>89</v>
      </c>
      <c r="M14" s="7" t="s">
        <v>311</v>
      </c>
      <c r="N14" s="7" t="s">
        <v>87</v>
      </c>
      <c r="O14" s="7"/>
      <c r="P14" s="7"/>
      <c r="Q14" s="7"/>
      <c r="R14" s="8"/>
    </row>
    <row r="15" spans="1:18">
      <c r="A15" s="5" t="s">
        <v>90</v>
      </c>
      <c r="B15" s="5" t="s">
        <v>21</v>
      </c>
      <c r="C15" s="5" t="s">
        <v>91</v>
      </c>
      <c r="D15" s="5" t="s">
        <v>23</v>
      </c>
      <c r="E15" s="5" t="s">
        <v>92</v>
      </c>
      <c r="F15" s="5" t="s">
        <v>93</v>
      </c>
      <c r="G15" s="5" t="s">
        <v>69</v>
      </c>
      <c r="H15" s="5" t="s">
        <v>94</v>
      </c>
      <c r="I15" s="5" t="s">
        <v>42</v>
      </c>
      <c r="J15" s="6">
        <v>1</v>
      </c>
      <c r="K15" s="5" t="s">
        <v>95</v>
      </c>
      <c r="L15" s="5" t="s">
        <v>30</v>
      </c>
      <c r="M15" s="7" t="s">
        <v>311</v>
      </c>
      <c r="N15" s="7" t="s">
        <v>92</v>
      </c>
      <c r="O15" s="7"/>
      <c r="P15" s="7"/>
      <c r="Q15" s="7"/>
      <c r="R15" s="8"/>
    </row>
    <row r="16" spans="1:18" ht="28.5">
      <c r="A16" s="5" t="s">
        <v>96</v>
      </c>
      <c r="B16" s="5" t="s">
        <v>21</v>
      </c>
      <c r="C16" s="5" t="s">
        <v>97</v>
      </c>
      <c r="D16" s="5" t="s">
        <v>23</v>
      </c>
      <c r="E16" s="5" t="s">
        <v>98</v>
      </c>
      <c r="F16" s="5" t="s">
        <v>99</v>
      </c>
      <c r="G16" s="5" t="s">
        <v>100</v>
      </c>
      <c r="H16" s="5" t="s">
        <v>101</v>
      </c>
      <c r="I16" s="5" t="s">
        <v>28</v>
      </c>
      <c r="J16" s="6">
        <v>0.99</v>
      </c>
      <c r="K16" s="5" t="s">
        <v>102</v>
      </c>
      <c r="L16" s="5" t="s">
        <v>30</v>
      </c>
      <c r="M16" s="7" t="s">
        <v>311</v>
      </c>
      <c r="N16" s="7" t="s">
        <v>98</v>
      </c>
      <c r="O16" s="7"/>
      <c r="P16" s="7"/>
      <c r="Q16" s="7"/>
      <c r="R16" s="8"/>
    </row>
    <row r="17" spans="1:18" ht="15">
      <c r="A17" s="5" t="s">
        <v>103</v>
      </c>
      <c r="B17" s="5" t="s">
        <v>21</v>
      </c>
      <c r="C17" s="5" t="s">
        <v>104</v>
      </c>
      <c r="D17" s="5" t="s">
        <v>23</v>
      </c>
      <c r="E17" s="5" t="s">
        <v>105</v>
      </c>
      <c r="F17" s="5" t="s">
        <v>106</v>
      </c>
      <c r="G17" s="5" t="s">
        <v>100</v>
      </c>
      <c r="H17" s="5" t="s">
        <v>107</v>
      </c>
      <c r="I17" s="5" t="s">
        <v>42</v>
      </c>
      <c r="J17" s="6">
        <v>1</v>
      </c>
      <c r="K17" s="5"/>
      <c r="L17" s="5"/>
      <c r="M17" s="7" t="s">
        <v>311</v>
      </c>
      <c r="N17" s="7" t="s">
        <v>105</v>
      </c>
      <c r="O17" s="7"/>
      <c r="P17" s="7"/>
      <c r="Q17" s="7"/>
      <c r="R17" s="8"/>
    </row>
    <row r="18" spans="1:18" ht="15">
      <c r="A18" s="5" t="s">
        <v>108</v>
      </c>
      <c r="B18" s="5" t="s">
        <v>21</v>
      </c>
      <c r="C18" s="5" t="s">
        <v>109</v>
      </c>
      <c r="D18" s="5" t="s">
        <v>23</v>
      </c>
      <c r="E18" s="5" t="s">
        <v>110</v>
      </c>
      <c r="F18" s="5" t="s">
        <v>111</v>
      </c>
      <c r="G18" s="5" t="s">
        <v>50</v>
      </c>
      <c r="H18" s="5" t="s">
        <v>112</v>
      </c>
      <c r="I18" s="5" t="s">
        <v>42</v>
      </c>
      <c r="J18" s="6">
        <v>1</v>
      </c>
      <c r="K18" s="5" t="s">
        <v>113</v>
      </c>
      <c r="L18" s="5" t="s">
        <v>114</v>
      </c>
      <c r="M18" s="7" t="s">
        <v>311</v>
      </c>
      <c r="N18" s="7" t="s">
        <v>110</v>
      </c>
      <c r="O18" s="7"/>
      <c r="P18" s="7"/>
      <c r="Q18" s="7"/>
      <c r="R18" s="8"/>
    </row>
    <row r="19" spans="1:18" ht="15">
      <c r="A19" s="5" t="s">
        <v>115</v>
      </c>
      <c r="B19" s="5" t="s">
        <v>21</v>
      </c>
      <c r="C19" s="5" t="s">
        <v>116</v>
      </c>
      <c r="D19" s="5" t="s">
        <v>23</v>
      </c>
      <c r="E19" s="5" t="s">
        <v>117</v>
      </c>
      <c r="F19" s="5" t="s">
        <v>118</v>
      </c>
      <c r="G19" s="5" t="s">
        <v>50</v>
      </c>
      <c r="H19" s="5" t="s">
        <v>119</v>
      </c>
      <c r="I19" s="5" t="s">
        <v>42</v>
      </c>
      <c r="J19" s="6">
        <v>1</v>
      </c>
      <c r="K19" s="5"/>
      <c r="L19" s="5"/>
      <c r="M19" s="7" t="s">
        <v>311</v>
      </c>
      <c r="N19" s="7" t="s">
        <v>117</v>
      </c>
      <c r="O19" s="7"/>
      <c r="P19" s="7"/>
      <c r="Q19" s="7"/>
      <c r="R19" s="8"/>
    </row>
    <row r="20" spans="1:18" ht="15">
      <c r="A20" s="5" t="s">
        <v>120</v>
      </c>
      <c r="B20" s="5" t="s">
        <v>21</v>
      </c>
      <c r="C20" s="5" t="s">
        <v>121</v>
      </c>
      <c r="D20" s="5" t="s">
        <v>23</v>
      </c>
      <c r="E20" s="5" t="s">
        <v>122</v>
      </c>
      <c r="F20" s="5" t="s">
        <v>123</v>
      </c>
      <c r="G20" s="5" t="s">
        <v>124</v>
      </c>
      <c r="H20" s="5" t="s">
        <v>125</v>
      </c>
      <c r="I20" s="5" t="s">
        <v>42</v>
      </c>
      <c r="J20" s="6">
        <v>1</v>
      </c>
      <c r="K20" s="5" t="s">
        <v>126</v>
      </c>
      <c r="L20" s="5" t="s">
        <v>127</v>
      </c>
      <c r="M20" s="7" t="s">
        <v>311</v>
      </c>
      <c r="N20" s="7" t="s">
        <v>122</v>
      </c>
      <c r="O20" s="7"/>
      <c r="P20" s="7"/>
      <c r="Q20" s="7"/>
      <c r="R20" s="8"/>
    </row>
    <row r="21" spans="1:18" ht="15">
      <c r="A21" s="5" t="s">
        <v>128</v>
      </c>
      <c r="B21" s="5" t="s">
        <v>21</v>
      </c>
      <c r="C21" s="5" t="s">
        <v>129</v>
      </c>
      <c r="D21" s="5" t="s">
        <v>23</v>
      </c>
      <c r="E21" s="5" t="s">
        <v>130</v>
      </c>
      <c r="F21" s="5" t="s">
        <v>131</v>
      </c>
      <c r="G21" s="5" t="s">
        <v>124</v>
      </c>
      <c r="H21" s="5"/>
      <c r="I21" s="5" t="s">
        <v>36</v>
      </c>
      <c r="J21" s="6">
        <v>0.4285714285714286</v>
      </c>
      <c r="K21" s="5"/>
      <c r="L21" s="5"/>
      <c r="M21" s="7" t="s">
        <v>311</v>
      </c>
      <c r="N21" s="7" t="s">
        <v>130</v>
      </c>
      <c r="O21" s="7"/>
      <c r="P21" s="7"/>
      <c r="Q21" s="7"/>
      <c r="R21" s="8"/>
    </row>
    <row r="22" spans="1:18" ht="15">
      <c r="A22" s="5" t="s">
        <v>132</v>
      </c>
      <c r="B22" s="5" t="s">
        <v>21</v>
      </c>
      <c r="C22" s="5" t="s">
        <v>133</v>
      </c>
      <c r="D22" s="5" t="s">
        <v>23</v>
      </c>
      <c r="E22" s="5" t="s">
        <v>134</v>
      </c>
      <c r="F22" s="5" t="s">
        <v>135</v>
      </c>
      <c r="G22" s="5" t="s">
        <v>124</v>
      </c>
      <c r="H22" s="5" t="s">
        <v>136</v>
      </c>
      <c r="I22" s="5" t="s">
        <v>42</v>
      </c>
      <c r="J22" s="6">
        <v>1</v>
      </c>
      <c r="K22" s="5" t="s">
        <v>137</v>
      </c>
      <c r="L22" s="5" t="s">
        <v>138</v>
      </c>
      <c r="M22" s="7" t="s">
        <v>311</v>
      </c>
      <c r="N22" s="7" t="s">
        <v>134</v>
      </c>
      <c r="O22" s="7"/>
      <c r="P22" s="7"/>
      <c r="Q22" s="7"/>
      <c r="R22" s="8"/>
    </row>
    <row r="23" spans="1:18" ht="28.5">
      <c r="A23" s="5" t="s">
        <v>139</v>
      </c>
      <c r="B23" s="5" t="s">
        <v>21</v>
      </c>
      <c r="C23" s="5" t="s">
        <v>140</v>
      </c>
      <c r="D23" s="5" t="s">
        <v>23</v>
      </c>
      <c r="E23" s="5" t="s">
        <v>141</v>
      </c>
      <c r="F23" s="5" t="s">
        <v>142</v>
      </c>
      <c r="G23" s="5" t="s">
        <v>124</v>
      </c>
      <c r="H23" s="5" t="s">
        <v>143</v>
      </c>
      <c r="I23" s="5" t="s">
        <v>28</v>
      </c>
      <c r="J23" s="6">
        <v>0.99</v>
      </c>
      <c r="K23" s="5" t="s">
        <v>144</v>
      </c>
      <c r="L23" s="5" t="s">
        <v>114</v>
      </c>
      <c r="M23" s="7" t="s">
        <v>311</v>
      </c>
      <c r="N23" s="7" t="s">
        <v>141</v>
      </c>
      <c r="O23" s="7"/>
      <c r="P23" s="7"/>
      <c r="Q23" s="7"/>
      <c r="R23" s="8"/>
    </row>
    <row r="24" spans="1:18" ht="28.5">
      <c r="A24" s="5" t="s">
        <v>145</v>
      </c>
      <c r="B24" s="5" t="s">
        <v>21</v>
      </c>
      <c r="C24" s="5" t="s">
        <v>146</v>
      </c>
      <c r="D24" s="5" t="s">
        <v>23</v>
      </c>
      <c r="E24" s="5" t="s">
        <v>147</v>
      </c>
      <c r="F24" s="5" t="s">
        <v>148</v>
      </c>
      <c r="G24" s="5" t="s">
        <v>124</v>
      </c>
      <c r="H24" s="5" t="s">
        <v>149</v>
      </c>
      <c r="I24" s="5" t="s">
        <v>28</v>
      </c>
      <c r="J24" s="6">
        <v>0.99</v>
      </c>
      <c r="K24" s="5" t="s">
        <v>150</v>
      </c>
      <c r="L24" s="5" t="s">
        <v>30</v>
      </c>
      <c r="M24" s="7" t="s">
        <v>311</v>
      </c>
      <c r="N24" s="7" t="s">
        <v>147</v>
      </c>
      <c r="O24" s="7"/>
      <c r="P24" s="7"/>
      <c r="Q24" s="7"/>
      <c r="R24" s="8"/>
    </row>
    <row r="25" spans="1:18" ht="28.5">
      <c r="A25" s="5" t="s">
        <v>151</v>
      </c>
      <c r="B25" s="5" t="s">
        <v>21</v>
      </c>
      <c r="C25" s="5" t="s">
        <v>152</v>
      </c>
      <c r="D25" s="5" t="s">
        <v>23</v>
      </c>
      <c r="E25" s="5" t="s">
        <v>153</v>
      </c>
      <c r="F25" s="5" t="s">
        <v>154</v>
      </c>
      <c r="G25" s="5" t="s">
        <v>124</v>
      </c>
      <c r="H25" s="5" t="s">
        <v>155</v>
      </c>
      <c r="I25" s="5" t="s">
        <v>28</v>
      </c>
      <c r="J25" s="6">
        <v>0.99</v>
      </c>
      <c r="K25" s="5" t="s">
        <v>156</v>
      </c>
      <c r="L25" s="5" t="s">
        <v>30</v>
      </c>
      <c r="M25" s="7" t="s">
        <v>311</v>
      </c>
      <c r="N25" s="7" t="s">
        <v>153</v>
      </c>
      <c r="O25" s="7"/>
      <c r="P25" s="7"/>
      <c r="Q25" s="7"/>
      <c r="R25" s="8"/>
    </row>
    <row r="26" spans="1:18" ht="15">
      <c r="A26" s="5" t="s">
        <v>157</v>
      </c>
      <c r="B26" s="5" t="s">
        <v>21</v>
      </c>
      <c r="C26" s="5" t="s">
        <v>158</v>
      </c>
      <c r="D26" s="5" t="s">
        <v>159</v>
      </c>
      <c r="E26" s="5" t="s">
        <v>160</v>
      </c>
      <c r="F26" s="5" t="s">
        <v>161</v>
      </c>
      <c r="G26" s="5" t="s">
        <v>124</v>
      </c>
      <c r="H26" s="5" t="s">
        <v>162</v>
      </c>
      <c r="I26" s="5" t="s">
        <v>42</v>
      </c>
      <c r="J26" s="6">
        <v>0.83333333333333337</v>
      </c>
      <c r="K26" s="5" t="s">
        <v>163</v>
      </c>
      <c r="L26" s="5" t="s">
        <v>30</v>
      </c>
      <c r="M26" s="7" t="s">
        <v>311</v>
      </c>
      <c r="N26" s="7" t="s">
        <v>160</v>
      </c>
      <c r="O26" s="7"/>
      <c r="P26" s="7"/>
      <c r="Q26" s="7"/>
      <c r="R26" s="8"/>
    </row>
    <row r="27" spans="1:18" ht="28.5">
      <c r="A27" s="5" t="s">
        <v>164</v>
      </c>
      <c r="B27" s="5" t="s">
        <v>21</v>
      </c>
      <c r="C27" s="5" t="s">
        <v>165</v>
      </c>
      <c r="D27" s="5" t="s">
        <v>23</v>
      </c>
      <c r="E27" s="5" t="s">
        <v>166</v>
      </c>
      <c r="F27" s="5" t="s">
        <v>167</v>
      </c>
      <c r="G27" s="5" t="s">
        <v>124</v>
      </c>
      <c r="H27" s="5" t="s">
        <v>168</v>
      </c>
      <c r="I27" s="5" t="s">
        <v>28</v>
      </c>
      <c r="J27" s="6">
        <v>0.99</v>
      </c>
      <c r="K27" s="5" t="s">
        <v>169</v>
      </c>
      <c r="L27" s="5" t="s">
        <v>30</v>
      </c>
      <c r="M27" s="7" t="s">
        <v>311</v>
      </c>
      <c r="N27" s="7" t="s">
        <v>166</v>
      </c>
      <c r="O27" s="7"/>
      <c r="P27" s="7"/>
      <c r="Q27" s="7"/>
      <c r="R27" s="8"/>
    </row>
    <row r="28" spans="1:18" ht="28.5">
      <c r="A28" s="5" t="s">
        <v>170</v>
      </c>
      <c r="B28" s="5" t="s">
        <v>21</v>
      </c>
      <c r="C28" s="5" t="s">
        <v>171</v>
      </c>
      <c r="D28" s="5" t="s">
        <v>23</v>
      </c>
      <c r="E28" s="5" t="s">
        <v>172</v>
      </c>
      <c r="F28" s="5" t="s">
        <v>173</v>
      </c>
      <c r="G28" s="5" t="s">
        <v>124</v>
      </c>
      <c r="H28" s="5" t="s">
        <v>174</v>
      </c>
      <c r="I28" s="5" t="s">
        <v>42</v>
      </c>
      <c r="J28" s="6">
        <v>1</v>
      </c>
      <c r="K28" s="5" t="s">
        <v>175</v>
      </c>
      <c r="L28" s="5" t="s">
        <v>176</v>
      </c>
      <c r="M28" s="7" t="s">
        <v>311</v>
      </c>
      <c r="N28" s="7" t="s">
        <v>172</v>
      </c>
      <c r="O28" s="7"/>
      <c r="P28" s="7"/>
      <c r="Q28" s="7"/>
      <c r="R28" s="8"/>
    </row>
    <row r="29" spans="1:18" ht="28.5">
      <c r="A29" s="5" t="s">
        <v>177</v>
      </c>
      <c r="B29" s="5" t="s">
        <v>21</v>
      </c>
      <c r="C29" s="5" t="s">
        <v>178</v>
      </c>
      <c r="D29" s="5" t="s">
        <v>23</v>
      </c>
      <c r="E29" s="5" t="s">
        <v>179</v>
      </c>
      <c r="F29" s="5" t="s">
        <v>180</v>
      </c>
      <c r="G29" s="5" t="s">
        <v>69</v>
      </c>
      <c r="H29" s="5" t="s">
        <v>181</v>
      </c>
      <c r="I29" s="5" t="s">
        <v>28</v>
      </c>
      <c r="J29" s="6">
        <v>0.99</v>
      </c>
      <c r="K29" s="5" t="s">
        <v>182</v>
      </c>
      <c r="L29" s="5" t="s">
        <v>30</v>
      </c>
      <c r="M29" s="7" t="s">
        <v>311</v>
      </c>
      <c r="N29" s="7" t="s">
        <v>179</v>
      </c>
      <c r="O29" s="7"/>
      <c r="P29" s="7"/>
      <c r="Q29" s="7"/>
      <c r="R29" s="8"/>
    </row>
    <row r="30" spans="1:18" ht="15">
      <c r="A30" s="5" t="s">
        <v>183</v>
      </c>
      <c r="B30" s="5" t="s">
        <v>21</v>
      </c>
      <c r="C30" s="5" t="s">
        <v>184</v>
      </c>
      <c r="D30" s="5" t="s">
        <v>23</v>
      </c>
      <c r="E30" s="5" t="s">
        <v>185</v>
      </c>
      <c r="F30" s="5" t="s">
        <v>186</v>
      </c>
      <c r="G30" s="5" t="s">
        <v>57</v>
      </c>
      <c r="H30" s="5" t="s">
        <v>187</v>
      </c>
      <c r="I30" s="5" t="s">
        <v>42</v>
      </c>
      <c r="J30" s="6">
        <v>0.75</v>
      </c>
      <c r="K30" s="5" t="s">
        <v>188</v>
      </c>
      <c r="L30" s="5" t="s">
        <v>189</v>
      </c>
      <c r="M30" s="7" t="s">
        <v>311</v>
      </c>
      <c r="N30" s="7" t="s">
        <v>185</v>
      </c>
      <c r="O30" s="7"/>
      <c r="P30" s="7"/>
      <c r="Q30" s="7"/>
      <c r="R30" s="8"/>
    </row>
    <row r="31" spans="1:18" ht="15">
      <c r="A31" s="5" t="s">
        <v>190</v>
      </c>
      <c r="B31" s="5" t="s">
        <v>21</v>
      </c>
      <c r="C31" s="5" t="s">
        <v>191</v>
      </c>
      <c r="D31" s="5" t="s">
        <v>23</v>
      </c>
      <c r="E31" s="5" t="s">
        <v>192</v>
      </c>
      <c r="F31" s="5" t="s">
        <v>193</v>
      </c>
      <c r="G31" s="5" t="s">
        <v>124</v>
      </c>
      <c r="H31" s="5" t="s">
        <v>194</v>
      </c>
      <c r="I31" s="5" t="s">
        <v>42</v>
      </c>
      <c r="J31" s="6">
        <v>1</v>
      </c>
      <c r="K31" s="5" t="s">
        <v>195</v>
      </c>
      <c r="L31" s="5" t="s">
        <v>196</v>
      </c>
      <c r="M31" s="7" t="s">
        <v>311</v>
      </c>
      <c r="N31" s="7" t="s">
        <v>192</v>
      </c>
      <c r="O31" s="7"/>
      <c r="P31" s="7"/>
      <c r="Q31" s="7"/>
      <c r="R31" s="8"/>
    </row>
    <row r="32" spans="1:18" ht="15">
      <c r="A32" s="5" t="s">
        <v>197</v>
      </c>
      <c r="B32" s="5" t="s">
        <v>21</v>
      </c>
      <c r="C32" s="5" t="s">
        <v>198</v>
      </c>
      <c r="D32" s="5" t="s">
        <v>23</v>
      </c>
      <c r="E32" s="5" t="s">
        <v>199</v>
      </c>
      <c r="F32" s="5" t="s">
        <v>200</v>
      </c>
      <c r="G32" s="5" t="s">
        <v>76</v>
      </c>
      <c r="H32" s="5" t="s">
        <v>201</v>
      </c>
      <c r="I32" s="5" t="s">
        <v>42</v>
      </c>
      <c r="J32" s="6">
        <v>1</v>
      </c>
      <c r="K32" s="5" t="s">
        <v>202</v>
      </c>
      <c r="L32" s="5" t="s">
        <v>30</v>
      </c>
      <c r="M32" s="7" t="s">
        <v>311</v>
      </c>
      <c r="N32" s="7" t="s">
        <v>199</v>
      </c>
      <c r="O32" s="7"/>
      <c r="P32" s="7"/>
      <c r="Q32" s="7"/>
      <c r="R32" s="8"/>
    </row>
    <row r="33" spans="1:18" ht="15">
      <c r="A33" s="5" t="s">
        <v>203</v>
      </c>
      <c r="B33" s="5" t="s">
        <v>21</v>
      </c>
      <c r="C33" s="5" t="s">
        <v>204</v>
      </c>
      <c r="D33" s="5" t="s">
        <v>159</v>
      </c>
      <c r="E33" s="5" t="s">
        <v>205</v>
      </c>
      <c r="F33" s="5" t="s">
        <v>206</v>
      </c>
      <c r="G33" s="5" t="s">
        <v>124</v>
      </c>
      <c r="H33" s="5"/>
      <c r="I33" s="5" t="s">
        <v>36</v>
      </c>
      <c r="J33" s="6">
        <v>0.64705882352941169</v>
      </c>
      <c r="K33" s="5"/>
      <c r="L33" s="5"/>
      <c r="M33" s="7" t="s">
        <v>311</v>
      </c>
      <c r="N33" s="7" t="s">
        <v>205</v>
      </c>
      <c r="O33" s="7"/>
      <c r="P33" s="7"/>
      <c r="Q33" s="7"/>
      <c r="R33" s="8"/>
    </row>
    <row r="34" spans="1:18" ht="15">
      <c r="A34" s="5" t="s">
        <v>207</v>
      </c>
      <c r="B34" s="5" t="s">
        <v>46</v>
      </c>
      <c r="C34" s="5" t="s">
        <v>208</v>
      </c>
      <c r="D34" s="5" t="s">
        <v>48</v>
      </c>
      <c r="E34" s="5"/>
      <c r="F34" s="5" t="s">
        <v>209</v>
      </c>
      <c r="G34" s="5" t="s">
        <v>124</v>
      </c>
      <c r="H34" s="5" t="s">
        <v>209</v>
      </c>
      <c r="I34" s="5" t="s">
        <v>58</v>
      </c>
      <c r="J34" s="6">
        <v>1</v>
      </c>
      <c r="K34" s="5" t="s">
        <v>210</v>
      </c>
      <c r="L34" s="5" t="s">
        <v>211</v>
      </c>
      <c r="M34" s="7" t="s">
        <v>311</v>
      </c>
      <c r="N34" s="7" t="s">
        <v>209</v>
      </c>
      <c r="O34" s="7"/>
      <c r="P34" s="7"/>
      <c r="Q34" s="7"/>
      <c r="R34" s="8"/>
    </row>
    <row r="35" spans="1:18" ht="15">
      <c r="A35" s="5" t="s">
        <v>212</v>
      </c>
      <c r="B35" s="5" t="s">
        <v>21</v>
      </c>
      <c r="C35" s="5" t="s">
        <v>213</v>
      </c>
      <c r="D35" s="5" t="s">
        <v>23</v>
      </c>
      <c r="E35" s="5" t="s">
        <v>214</v>
      </c>
      <c r="F35" s="5" t="s">
        <v>215</v>
      </c>
      <c r="G35" s="5" t="s">
        <v>124</v>
      </c>
      <c r="H35" s="5" t="s">
        <v>216</v>
      </c>
      <c r="I35" s="5" t="s">
        <v>42</v>
      </c>
      <c r="J35" s="6">
        <v>1</v>
      </c>
      <c r="K35" s="5" t="s">
        <v>217</v>
      </c>
      <c r="L35" s="5" t="s">
        <v>30</v>
      </c>
      <c r="M35" s="7" t="s">
        <v>311</v>
      </c>
      <c r="N35" s="7" t="s">
        <v>214</v>
      </c>
      <c r="O35" s="7"/>
      <c r="P35" s="7"/>
      <c r="Q35" s="7"/>
      <c r="R35" s="8"/>
    </row>
    <row r="36" spans="1:18" ht="15">
      <c r="A36" s="5" t="s">
        <v>218</v>
      </c>
      <c r="B36" s="5" t="s">
        <v>21</v>
      </c>
      <c r="C36" s="5" t="s">
        <v>219</v>
      </c>
      <c r="D36" s="5" t="s">
        <v>23</v>
      </c>
      <c r="E36" s="5" t="s">
        <v>220</v>
      </c>
      <c r="F36" s="5" t="s">
        <v>221</v>
      </c>
      <c r="G36" s="5" t="s">
        <v>26</v>
      </c>
      <c r="H36" s="5" t="s">
        <v>222</v>
      </c>
      <c r="I36" s="5" t="s">
        <v>42</v>
      </c>
      <c r="J36" s="6">
        <v>1</v>
      </c>
      <c r="K36" s="5" t="s">
        <v>223</v>
      </c>
      <c r="L36" s="5" t="s">
        <v>114</v>
      </c>
      <c r="M36" s="7" t="s">
        <v>311</v>
      </c>
      <c r="N36" s="7" t="s">
        <v>220</v>
      </c>
      <c r="O36" s="7"/>
      <c r="P36" s="7"/>
      <c r="Q36" s="7"/>
      <c r="R36" s="8"/>
    </row>
    <row r="37" spans="1:18" ht="28.5">
      <c r="A37" s="5" t="s">
        <v>224</v>
      </c>
      <c r="B37" s="5" t="s">
        <v>21</v>
      </c>
      <c r="C37" s="5" t="s">
        <v>225</v>
      </c>
      <c r="D37" s="5" t="s">
        <v>23</v>
      </c>
      <c r="E37" s="5" t="s">
        <v>226</v>
      </c>
      <c r="F37" s="5" t="s">
        <v>227</v>
      </c>
      <c r="G37" s="5" t="s">
        <v>124</v>
      </c>
      <c r="H37" s="5" t="s">
        <v>228</v>
      </c>
      <c r="I37" s="5" t="s">
        <v>28</v>
      </c>
      <c r="J37" s="6">
        <v>0.99</v>
      </c>
      <c r="K37" s="5" t="s">
        <v>229</v>
      </c>
      <c r="L37" s="5" t="s">
        <v>230</v>
      </c>
      <c r="M37" s="7" t="s">
        <v>311</v>
      </c>
      <c r="N37" s="7" t="s">
        <v>226</v>
      </c>
      <c r="O37" s="7"/>
      <c r="P37" s="7"/>
      <c r="Q37" s="7"/>
      <c r="R37" s="8"/>
    </row>
    <row r="38" spans="1:18" ht="15">
      <c r="A38" s="5" t="s">
        <v>231</v>
      </c>
      <c r="B38" s="5" t="s">
        <v>21</v>
      </c>
      <c r="C38" s="5" t="s">
        <v>232</v>
      </c>
      <c r="D38" s="5" t="s">
        <v>23</v>
      </c>
      <c r="E38" s="5" t="s">
        <v>233</v>
      </c>
      <c r="F38" s="5" t="s">
        <v>234</v>
      </c>
      <c r="G38" s="5" t="s">
        <v>50</v>
      </c>
      <c r="H38" s="5" t="s">
        <v>235</v>
      </c>
      <c r="I38" s="5" t="s">
        <v>42</v>
      </c>
      <c r="J38" s="6">
        <v>1</v>
      </c>
      <c r="K38" s="5" t="s">
        <v>236</v>
      </c>
      <c r="L38" s="5" t="s">
        <v>237</v>
      </c>
      <c r="M38" s="7" t="s">
        <v>311</v>
      </c>
      <c r="N38" s="7" t="s">
        <v>233</v>
      </c>
      <c r="O38" s="7"/>
      <c r="P38" s="7"/>
      <c r="Q38" s="7"/>
      <c r="R38" s="8"/>
    </row>
    <row r="39" spans="1:18" ht="42.75">
      <c r="A39" s="5" t="s">
        <v>238</v>
      </c>
      <c r="B39" s="5" t="s">
        <v>21</v>
      </c>
      <c r="C39" s="5" t="s">
        <v>239</v>
      </c>
      <c r="D39" s="5" t="s">
        <v>23</v>
      </c>
      <c r="E39" s="5" t="s">
        <v>240</v>
      </c>
      <c r="F39" s="5" t="s">
        <v>241</v>
      </c>
      <c r="G39" s="5" t="s">
        <v>124</v>
      </c>
      <c r="H39" s="5" t="s">
        <v>242</v>
      </c>
      <c r="I39" s="5" t="s">
        <v>42</v>
      </c>
      <c r="J39" s="6">
        <v>0.72222222222222221</v>
      </c>
      <c r="K39" s="5" t="s">
        <v>243</v>
      </c>
      <c r="L39" s="5" t="s">
        <v>244</v>
      </c>
      <c r="M39" s="7" t="s">
        <v>311</v>
      </c>
      <c r="N39" s="7" t="s">
        <v>240</v>
      </c>
      <c r="O39" s="7"/>
      <c r="P39" s="7"/>
      <c r="Q39" s="7"/>
      <c r="R39" s="8"/>
    </row>
    <row r="40" spans="1:18" ht="28.5">
      <c r="A40" s="5" t="s">
        <v>245</v>
      </c>
      <c r="B40" s="5" t="s">
        <v>21</v>
      </c>
      <c r="C40" s="5" t="s">
        <v>246</v>
      </c>
      <c r="D40" s="5" t="s">
        <v>159</v>
      </c>
      <c r="E40" s="5" t="s">
        <v>247</v>
      </c>
      <c r="F40" s="5" t="s">
        <v>248</v>
      </c>
      <c r="G40" s="5" t="s">
        <v>69</v>
      </c>
      <c r="H40" s="5" t="s">
        <v>249</v>
      </c>
      <c r="I40" s="5" t="s">
        <v>28</v>
      </c>
      <c r="J40" s="6">
        <v>0.99</v>
      </c>
      <c r="K40" s="5" t="s">
        <v>250</v>
      </c>
      <c r="L40" s="5" t="s">
        <v>30</v>
      </c>
      <c r="M40" s="7" t="s">
        <v>311</v>
      </c>
      <c r="N40" s="7" t="s">
        <v>247</v>
      </c>
      <c r="O40" s="7"/>
      <c r="P40" s="7"/>
      <c r="Q40" s="7"/>
      <c r="R40" s="8"/>
    </row>
    <row r="41" spans="1:18" ht="15">
      <c r="A41" s="5" t="s">
        <v>251</v>
      </c>
      <c r="B41" s="5" t="s">
        <v>46</v>
      </c>
      <c r="C41" s="5" t="s">
        <v>252</v>
      </c>
      <c r="D41" s="5" t="s">
        <v>48</v>
      </c>
      <c r="E41" s="5"/>
      <c r="F41" s="5" t="s">
        <v>253</v>
      </c>
      <c r="G41" s="5" t="s">
        <v>124</v>
      </c>
      <c r="H41" s="5" t="s">
        <v>253</v>
      </c>
      <c r="I41" s="5" t="s">
        <v>58</v>
      </c>
      <c r="J41" s="6">
        <v>1</v>
      </c>
      <c r="K41" s="5" t="s">
        <v>254</v>
      </c>
      <c r="L41" s="5" t="s">
        <v>138</v>
      </c>
      <c r="M41" s="7" t="s">
        <v>311</v>
      </c>
      <c r="N41" s="7" t="s">
        <v>253</v>
      </c>
      <c r="O41" s="7"/>
      <c r="P41" s="7"/>
      <c r="Q41" s="7"/>
      <c r="R41" s="8"/>
    </row>
    <row r="42" spans="1:18" ht="28.5">
      <c r="A42" s="5" t="s">
        <v>255</v>
      </c>
      <c r="B42" s="5" t="s">
        <v>21</v>
      </c>
      <c r="C42" s="5" t="s">
        <v>256</v>
      </c>
      <c r="D42" s="5" t="s">
        <v>23</v>
      </c>
      <c r="E42" s="5" t="s">
        <v>257</v>
      </c>
      <c r="F42" s="5" t="s">
        <v>258</v>
      </c>
      <c r="G42" s="5" t="s">
        <v>124</v>
      </c>
      <c r="H42" s="5" t="s">
        <v>259</v>
      </c>
      <c r="I42" s="5" t="s">
        <v>42</v>
      </c>
      <c r="J42" s="6">
        <v>1</v>
      </c>
      <c r="K42" s="5" t="s">
        <v>260</v>
      </c>
      <c r="L42" s="5" t="s">
        <v>114</v>
      </c>
      <c r="M42" s="7" t="s">
        <v>311</v>
      </c>
      <c r="N42" s="7" t="s">
        <v>257</v>
      </c>
      <c r="O42" s="7"/>
      <c r="P42" s="7"/>
      <c r="Q42" s="7"/>
      <c r="R42" s="8"/>
    </row>
    <row r="43" spans="1:18" ht="28.5">
      <c r="A43" s="5" t="s">
        <v>261</v>
      </c>
      <c r="B43" s="5" t="s">
        <v>21</v>
      </c>
      <c r="C43" s="5" t="s">
        <v>262</v>
      </c>
      <c r="D43" s="5" t="s">
        <v>23</v>
      </c>
      <c r="E43" s="5" t="s">
        <v>263</v>
      </c>
      <c r="F43" s="5" t="s">
        <v>264</v>
      </c>
      <c r="G43" s="5" t="s">
        <v>100</v>
      </c>
      <c r="H43" s="5" t="s">
        <v>265</v>
      </c>
      <c r="I43" s="5" t="s">
        <v>28</v>
      </c>
      <c r="J43" s="6">
        <v>0.99</v>
      </c>
      <c r="K43" s="5" t="s">
        <v>266</v>
      </c>
      <c r="L43" s="5" t="s">
        <v>30</v>
      </c>
      <c r="M43" s="7" t="s">
        <v>311</v>
      </c>
      <c r="N43" s="7" t="s">
        <v>263</v>
      </c>
      <c r="O43" s="7"/>
      <c r="P43" s="7"/>
      <c r="Q43" s="7"/>
      <c r="R43" s="8"/>
    </row>
    <row r="44" spans="1:18" ht="15">
      <c r="A44" s="5" t="s">
        <v>267</v>
      </c>
      <c r="B44" s="5" t="s">
        <v>21</v>
      </c>
      <c r="C44" s="5" t="s">
        <v>268</v>
      </c>
      <c r="D44" s="5" t="s">
        <v>23</v>
      </c>
      <c r="E44" s="5" t="s">
        <v>269</v>
      </c>
      <c r="F44" s="5" t="s">
        <v>270</v>
      </c>
      <c r="G44" s="5" t="s">
        <v>124</v>
      </c>
      <c r="H44" s="5" t="s">
        <v>271</v>
      </c>
      <c r="I44" s="5" t="s">
        <v>42</v>
      </c>
      <c r="J44" s="6">
        <v>1</v>
      </c>
      <c r="K44" s="5" t="s">
        <v>272</v>
      </c>
      <c r="L44" s="5" t="s">
        <v>273</v>
      </c>
      <c r="M44" s="7" t="s">
        <v>311</v>
      </c>
      <c r="N44" s="7" t="s">
        <v>269</v>
      </c>
      <c r="O44" s="7"/>
      <c r="P44" s="7"/>
      <c r="Q44" s="7"/>
      <c r="R44" s="8"/>
    </row>
    <row r="45" spans="1:18" ht="15">
      <c r="A45" s="5" t="s">
        <v>274</v>
      </c>
      <c r="B45" s="5" t="s">
        <v>21</v>
      </c>
      <c r="C45" s="5" t="s">
        <v>275</v>
      </c>
      <c r="D45" s="5" t="s">
        <v>23</v>
      </c>
      <c r="E45" s="5" t="s">
        <v>276</v>
      </c>
      <c r="F45" s="5" t="s">
        <v>277</v>
      </c>
      <c r="G45" s="5" t="s">
        <v>26</v>
      </c>
      <c r="H45" s="5" t="s">
        <v>278</v>
      </c>
      <c r="I45" s="5" t="s">
        <v>42</v>
      </c>
      <c r="J45" s="6">
        <v>1</v>
      </c>
      <c r="K45" s="5" t="s">
        <v>279</v>
      </c>
      <c r="L45" s="5" t="s">
        <v>230</v>
      </c>
      <c r="M45" s="7" t="s">
        <v>311</v>
      </c>
      <c r="N45" s="7" t="s">
        <v>276</v>
      </c>
      <c r="O45" s="7"/>
      <c r="P45" s="7"/>
      <c r="Q45" s="7"/>
      <c r="R45" s="8"/>
    </row>
    <row r="46" spans="1:18" ht="15">
      <c r="A46" s="5" t="s">
        <v>280</v>
      </c>
      <c r="B46" s="5" t="s">
        <v>21</v>
      </c>
      <c r="C46" s="5" t="s">
        <v>281</v>
      </c>
      <c r="D46" s="5" t="s">
        <v>23</v>
      </c>
      <c r="E46" s="5" t="s">
        <v>282</v>
      </c>
      <c r="F46" s="5" t="s">
        <v>283</v>
      </c>
      <c r="G46" s="5" t="s">
        <v>26</v>
      </c>
      <c r="H46" s="5" t="s">
        <v>284</v>
      </c>
      <c r="I46" s="5" t="s">
        <v>42</v>
      </c>
      <c r="J46" s="6">
        <v>1</v>
      </c>
      <c r="K46" s="5" t="s">
        <v>285</v>
      </c>
      <c r="L46" s="5" t="s">
        <v>230</v>
      </c>
      <c r="M46" s="7" t="s">
        <v>311</v>
      </c>
      <c r="N46" s="7" t="s">
        <v>282</v>
      </c>
      <c r="O46" s="7"/>
      <c r="P46" s="7"/>
      <c r="Q46" s="7"/>
      <c r="R46" s="8"/>
    </row>
    <row r="47" spans="1:18" ht="15">
      <c r="A47" s="5" t="s">
        <v>286</v>
      </c>
      <c r="B47" s="5" t="s">
        <v>21</v>
      </c>
      <c r="C47" s="5" t="s">
        <v>287</v>
      </c>
      <c r="D47" s="5" t="s">
        <v>23</v>
      </c>
      <c r="E47" s="5" t="s">
        <v>288</v>
      </c>
      <c r="F47" s="5" t="s">
        <v>289</v>
      </c>
      <c r="G47" s="5" t="s">
        <v>76</v>
      </c>
      <c r="H47" s="5" t="s">
        <v>290</v>
      </c>
      <c r="I47" s="5" t="s">
        <v>42</v>
      </c>
      <c r="J47" s="6">
        <v>1</v>
      </c>
      <c r="K47" s="5" t="s">
        <v>291</v>
      </c>
      <c r="L47" s="5" t="s">
        <v>114</v>
      </c>
      <c r="M47" s="7" t="s">
        <v>311</v>
      </c>
      <c r="N47" s="7" t="s">
        <v>288</v>
      </c>
      <c r="O47" s="7"/>
      <c r="P47" s="7"/>
      <c r="Q47" s="7"/>
      <c r="R47" s="8"/>
    </row>
    <row r="48" spans="1:18" ht="15">
      <c r="A48" s="5" t="s">
        <v>292</v>
      </c>
      <c r="B48" s="5" t="s">
        <v>21</v>
      </c>
      <c r="C48" s="5" t="s">
        <v>293</v>
      </c>
      <c r="D48" s="5" t="s">
        <v>23</v>
      </c>
      <c r="E48" s="5" t="s">
        <v>294</v>
      </c>
      <c r="F48" s="5" t="s">
        <v>295</v>
      </c>
      <c r="G48" s="5" t="s">
        <v>26</v>
      </c>
      <c r="H48" s="5" t="s">
        <v>296</v>
      </c>
      <c r="I48" s="5" t="s">
        <v>42</v>
      </c>
      <c r="J48" s="6">
        <v>0.95652173913043481</v>
      </c>
      <c r="K48" s="5" t="s">
        <v>297</v>
      </c>
      <c r="L48" s="5" t="s">
        <v>230</v>
      </c>
      <c r="M48" s="7" t="s">
        <v>311</v>
      </c>
      <c r="N48" s="7" t="s">
        <v>294</v>
      </c>
      <c r="O48" s="7"/>
      <c r="P48" s="7"/>
      <c r="Q48" s="7"/>
      <c r="R48" s="8"/>
    </row>
    <row r="49" spans="1:18" ht="15">
      <c r="A49" s="5" t="s">
        <v>298</v>
      </c>
      <c r="B49" s="5" t="s">
        <v>21</v>
      </c>
      <c r="C49" s="5" t="s">
        <v>299</v>
      </c>
      <c r="D49" s="5" t="s">
        <v>159</v>
      </c>
      <c r="E49" s="5" t="s">
        <v>300</v>
      </c>
      <c r="F49" s="5" t="s">
        <v>301</v>
      </c>
      <c r="G49" s="5" t="s">
        <v>124</v>
      </c>
      <c r="H49" s="5" t="s">
        <v>302</v>
      </c>
      <c r="I49" s="5" t="s">
        <v>42</v>
      </c>
      <c r="J49" s="6">
        <v>0.75</v>
      </c>
      <c r="K49" s="5"/>
      <c r="L49" s="5"/>
      <c r="M49" s="7" t="s">
        <v>311</v>
      </c>
      <c r="N49" s="7" t="s">
        <v>300</v>
      </c>
      <c r="O49" s="7"/>
      <c r="P49" s="7"/>
      <c r="Q49" s="7"/>
      <c r="R49" s="8"/>
    </row>
  </sheetData>
  <mergeCells count="2">
    <mergeCell ref="A1:R1"/>
    <mergeCell ref="A2:R2"/>
  </mergeCells>
  <conditionalFormatting sqref="M5:M49">
    <cfRule type="expression" dxfId="2" priority="1">
      <formula>M5="MISMO_PUNTO"</formula>
    </cfRule>
    <cfRule type="expression" dxfId="1" priority="2">
      <formula>M5="PENDIENTE"</formula>
    </cfRule>
    <cfRule type="expression" dxfId="0" priority="3">
      <formula>M5="PUNTO_DIFERENTE"</formula>
    </cfRule>
  </conditionalFormatting>
  <dataValidations count="1">
    <dataValidation type="list" sqref="M5:M49" xr:uid="{00000000-0002-0000-0000-000000000000}">
      <formula1>"PENDIENTE,MISMO_PUNTO,PUNTO_DIFERENTE,CODIGO_CAMBIO,PUNTO_CERRADO,REQUIERE_VERIFICACION"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workbookViewId="0">
      <selection sqref="A1:H1"/>
    </sheetView>
  </sheetViews>
  <sheetFormatPr baseColWidth="10" defaultColWidth="9" defaultRowHeight="14.25"/>
  <cols>
    <col min="1" max="1" width="25" customWidth="1"/>
    <col min="2" max="2" width="24" customWidth="1"/>
    <col min="3" max="8" width="17" customWidth="1"/>
  </cols>
  <sheetData>
    <row r="1" spans="1:8" ht="33.950000000000003" customHeight="1">
      <c r="A1" s="11" t="s">
        <v>303</v>
      </c>
      <c r="B1" s="11"/>
      <c r="C1" s="11"/>
      <c r="D1" s="11"/>
      <c r="E1" s="11"/>
      <c r="F1" s="11"/>
      <c r="G1" s="11"/>
      <c r="H1" s="11"/>
    </row>
    <row r="2" spans="1:8" ht="32.1" customHeight="1">
      <c r="A2" s="12" t="s">
        <v>304</v>
      </c>
      <c r="B2" s="12"/>
      <c r="C2" s="12"/>
      <c r="D2" s="12"/>
      <c r="E2" s="12"/>
      <c r="F2" s="12"/>
      <c r="G2" s="12"/>
      <c r="H2" s="12"/>
    </row>
    <row r="4" spans="1:8" ht="15">
      <c r="A4" s="1" t="s">
        <v>305</v>
      </c>
      <c r="B4" s="1"/>
      <c r="C4" s="1"/>
      <c r="D4" s="1"/>
      <c r="E4" s="1"/>
      <c r="F4" s="1"/>
      <c r="G4" s="1"/>
      <c r="H4" s="1"/>
    </row>
    <row r="6" spans="1:8" ht="15">
      <c r="A6" s="14" t="s">
        <v>306</v>
      </c>
      <c r="B6" s="14"/>
      <c r="C6" s="14" t="s">
        <v>307</v>
      </c>
      <c r="D6" s="14"/>
      <c r="E6" s="14" t="s">
        <v>308</v>
      </c>
      <c r="F6" s="14"/>
      <c r="G6" s="14" t="s">
        <v>309</v>
      </c>
      <c r="H6" s="14"/>
    </row>
    <row r="7" spans="1:8" ht="23.25">
      <c r="A7" s="15">
        <f>COUNTA(Revision!$A$5:$A$49)</f>
        <v>45</v>
      </c>
      <c r="B7" s="15"/>
      <c r="C7" s="15">
        <f>COUNTIF(Revision!$B$5:$B$49,"ALIAS_INVENTARIO")</f>
        <v>39</v>
      </c>
      <c r="D7" s="15"/>
      <c r="E7" s="15">
        <f>COUNTIF(Revision!$B$5:$B$49,"CODIGO_AUSENTE_EN_SIIS")</f>
        <v>6</v>
      </c>
      <c r="F7" s="15"/>
      <c r="G7" s="15">
        <f>COUNTIF(Revision!$M$5:$M$49,"PENDIENTE")</f>
        <v>0</v>
      </c>
      <c r="H7" s="15"/>
    </row>
    <row r="10" spans="1:8" ht="15">
      <c r="A10" s="1" t="s">
        <v>310</v>
      </c>
      <c r="B10" s="1"/>
      <c r="C10" s="1"/>
      <c r="D10" s="1"/>
      <c r="E10" s="1"/>
      <c r="F10" s="1"/>
      <c r="G10" s="1"/>
      <c r="H10" s="1"/>
    </row>
    <row r="11" spans="1:8" ht="30" customHeight="1">
      <c r="A11" s="9" t="s">
        <v>311</v>
      </c>
      <c r="B11" s="13" t="s">
        <v>312</v>
      </c>
      <c r="C11" s="13"/>
      <c r="D11" s="13"/>
      <c r="E11" s="13"/>
      <c r="F11" s="13"/>
      <c r="G11" s="13"/>
      <c r="H11" s="13"/>
    </row>
    <row r="12" spans="1:8" ht="30" customHeight="1">
      <c r="A12" s="9" t="s">
        <v>313</v>
      </c>
      <c r="B12" s="13" t="s">
        <v>314</v>
      </c>
      <c r="C12" s="13"/>
      <c r="D12" s="13"/>
      <c r="E12" s="13"/>
      <c r="F12" s="13"/>
      <c r="G12" s="13"/>
      <c r="H12" s="13"/>
    </row>
    <row r="13" spans="1:8" ht="30" customHeight="1">
      <c r="A13" s="9" t="s">
        <v>315</v>
      </c>
      <c r="B13" s="13" t="s">
        <v>316</v>
      </c>
      <c r="C13" s="13"/>
      <c r="D13" s="13"/>
      <c r="E13" s="13"/>
      <c r="F13" s="13"/>
      <c r="G13" s="13"/>
      <c r="H13" s="13"/>
    </row>
    <row r="14" spans="1:8" ht="30" customHeight="1">
      <c r="A14" s="9" t="s">
        <v>317</v>
      </c>
      <c r="B14" s="13" t="s">
        <v>318</v>
      </c>
      <c r="C14" s="13"/>
      <c r="D14" s="13"/>
      <c r="E14" s="13"/>
      <c r="F14" s="13"/>
      <c r="G14" s="13"/>
      <c r="H14" s="13"/>
    </row>
    <row r="15" spans="1:8" ht="30" customHeight="1">
      <c r="A15" s="9" t="s">
        <v>319</v>
      </c>
      <c r="B15" s="13" t="s">
        <v>320</v>
      </c>
      <c r="C15" s="13"/>
      <c r="D15" s="13"/>
      <c r="E15" s="13"/>
      <c r="F15" s="13"/>
      <c r="G15" s="13"/>
      <c r="H15" s="13"/>
    </row>
    <row r="16" spans="1:8" ht="30" customHeight="1">
      <c r="A16" s="9" t="s">
        <v>31</v>
      </c>
      <c r="B16" s="13" t="s">
        <v>321</v>
      </c>
      <c r="C16" s="13"/>
      <c r="D16" s="13"/>
      <c r="E16" s="13"/>
      <c r="F16" s="13"/>
      <c r="G16" s="13"/>
      <c r="H16" s="13"/>
    </row>
    <row r="19" spans="1:8" ht="15">
      <c r="A19" s="1" t="s">
        <v>322</v>
      </c>
      <c r="B19" s="1"/>
      <c r="C19" s="1"/>
      <c r="D19" s="1"/>
      <c r="E19" s="1"/>
      <c r="F19" s="1"/>
      <c r="G19" s="1"/>
      <c r="H19" s="1"/>
    </row>
    <row r="20" spans="1:8" ht="26.1" customHeight="1">
      <c r="A20" s="10" t="s">
        <v>323</v>
      </c>
      <c r="B20" s="13" t="s">
        <v>324</v>
      </c>
      <c r="C20" s="13"/>
      <c r="D20" s="13"/>
      <c r="E20" s="13"/>
      <c r="F20" s="13"/>
      <c r="G20" s="13"/>
      <c r="H20" s="13"/>
    </row>
    <row r="21" spans="1:8" ht="26.1" customHeight="1">
      <c r="A21" s="10" t="s">
        <v>325</v>
      </c>
      <c r="B21" s="13" t="s">
        <v>326</v>
      </c>
      <c r="C21" s="13"/>
      <c r="D21" s="13"/>
      <c r="E21" s="13"/>
      <c r="F21" s="13"/>
      <c r="G21" s="13"/>
      <c r="H21" s="13"/>
    </row>
    <row r="22" spans="1:8" ht="26.1" customHeight="1">
      <c r="A22" s="10" t="s">
        <v>327</v>
      </c>
      <c r="B22" s="13" t="s">
        <v>328</v>
      </c>
      <c r="C22" s="13"/>
      <c r="D22" s="13"/>
      <c r="E22" s="13"/>
      <c r="F22" s="13"/>
      <c r="G22" s="13"/>
      <c r="H22" s="13"/>
    </row>
    <row r="23" spans="1:8" ht="26.1" customHeight="1">
      <c r="A23" s="10" t="s">
        <v>329</v>
      </c>
      <c r="B23" s="13" t="s">
        <v>330</v>
      </c>
      <c r="C23" s="13"/>
      <c r="D23" s="13"/>
      <c r="E23" s="13"/>
      <c r="F23" s="13"/>
      <c r="G23" s="13"/>
      <c r="H23" s="13"/>
    </row>
  </sheetData>
  <mergeCells count="20">
    <mergeCell ref="A1:H1"/>
    <mergeCell ref="A2:H2"/>
    <mergeCell ref="A6:B6"/>
    <mergeCell ref="A7:B7"/>
    <mergeCell ref="C6:D6"/>
    <mergeCell ref="C7:D7"/>
    <mergeCell ref="E6:F6"/>
    <mergeCell ref="E7:F7"/>
    <mergeCell ref="G6:H6"/>
    <mergeCell ref="G7:H7"/>
    <mergeCell ref="B11:H11"/>
    <mergeCell ref="B12:H12"/>
    <mergeCell ref="B13:H13"/>
    <mergeCell ref="B14:H14"/>
    <mergeCell ref="B15:H15"/>
    <mergeCell ref="B16:H16"/>
    <mergeCell ref="B20:H20"/>
    <mergeCell ref="B21:H21"/>
    <mergeCell ref="B22:H22"/>
    <mergeCell ref="B23:H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workbookViewId="0"/>
  </sheetViews>
  <sheetFormatPr baseColWidth="10" defaultColWidth="9" defaultRowHeight="14.25"/>
  <cols>
    <col min="1" max="3" width="34" customWidth="1"/>
  </cols>
  <sheetData>
    <row r="1" spans="1:3" ht="33.950000000000003" customHeight="1">
      <c r="A1" s="11" t="s">
        <v>331</v>
      </c>
      <c r="B1" s="11"/>
      <c r="C1" s="11"/>
    </row>
    <row r="2" spans="1:3" ht="32.1" customHeight="1">
      <c r="A2" s="12" t="s">
        <v>332</v>
      </c>
      <c r="B2" s="12"/>
      <c r="C2" s="12"/>
    </row>
    <row r="4" spans="1:3" ht="15">
      <c r="A4" s="2" t="s">
        <v>333</v>
      </c>
      <c r="B4" s="2" t="s">
        <v>334</v>
      </c>
      <c r="C4" s="2" t="s">
        <v>335</v>
      </c>
    </row>
    <row r="5" spans="1:3">
      <c r="A5" s="4" t="s">
        <v>31</v>
      </c>
      <c r="B5" s="4" t="s">
        <v>336</v>
      </c>
      <c r="C5" s="4"/>
    </row>
    <row r="6" spans="1:3">
      <c r="A6" s="4" t="s">
        <v>311</v>
      </c>
      <c r="B6" s="4" t="s">
        <v>337</v>
      </c>
      <c r="C6" s="4" t="s">
        <v>338</v>
      </c>
    </row>
    <row r="7" spans="1:3">
      <c r="A7" s="4" t="s">
        <v>313</v>
      </c>
      <c r="B7" s="4" t="s">
        <v>339</v>
      </c>
      <c r="C7" s="4" t="s">
        <v>17</v>
      </c>
    </row>
    <row r="8" spans="1:3">
      <c r="A8" s="4" t="s">
        <v>315</v>
      </c>
      <c r="B8" s="4" t="s">
        <v>340</v>
      </c>
      <c r="C8" s="4" t="s">
        <v>341</v>
      </c>
    </row>
    <row r="9" spans="1:3">
      <c r="A9" s="4" t="s">
        <v>317</v>
      </c>
      <c r="B9" s="4" t="s">
        <v>342</v>
      </c>
      <c r="C9" s="4" t="s">
        <v>17</v>
      </c>
    </row>
    <row r="10" spans="1:3">
      <c r="A10" s="4" t="s">
        <v>319</v>
      </c>
      <c r="B10" s="4" t="s">
        <v>343</v>
      </c>
      <c r="C10" s="4" t="s">
        <v>17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Revision</vt:lpstr>
      <vt:lpstr>Instrucciones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Coordinador Seguridad Perimetral</cp:lastModifiedBy>
  <dcterms:modified xsi:type="dcterms:W3CDTF">2026-08-20T21:04:18Z</dcterms:modified>
</cp:coreProperties>
</file>